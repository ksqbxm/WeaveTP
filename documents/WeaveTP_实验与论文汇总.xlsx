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95a02b04d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导航" sheetId="1" r:id="Rd2ba4c8894eb4d73"/>
    <x:sheet xmlns:r="http://schemas.openxmlformats.org/officeDocument/2006/relationships" name="代码与设备" sheetId="2" r:id="Ref5d25cbcb834087"/>
    <x:sheet xmlns:r="http://schemas.openxmlformats.org/officeDocument/2006/relationships" name="正式三轮结果" sheetId="3" r:id="Rc68c6d08739346ce"/>
    <x:sheet xmlns:r="http://schemas.openxmlformats.org/officeDocument/2006/relationships" name="历史机制对照" sheetId="4" r:id="Rd4b9f138e6954ca9"/>
    <x:sheet xmlns:r="http://schemas.openxmlformats.org/officeDocument/2006/relationships" name="论文调研" sheetId="5" r:id="R4a256a4edab74bb1"/>
    <x:sheet xmlns:r="http://schemas.openxmlformats.org/officeDocument/2006/relationships" name="复现状态" sheetId="6" r:id="R3f12ed96cb87429e"/>
    <x:sheet xmlns:r="http://schemas.openxmlformats.org/officeDocument/2006/relationships" name="逐轮数据" sheetId="7" r:id="R0ebc5d7375eb49b5"/>
    <x:sheet xmlns:r="http://schemas.openxmlformats.org/officeDocument/2006/relationships" name="指标说明" sheetId="8" r:id="R968b5a6487c7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000"/>
    <x:numFmt numFmtId="202" formatCode="0.0%;-0.0%;0.0%"/>
  </x:numFmts>
  <x:fonts count="5">
    <x:font>
      <x:sz val="11"/>
      <x:name val="Carlito"/>
    </x:font>
    <x:font>
      <x:sz val="11"/>
      <x:color rgb="FF243247"/>
      <x:name val="Microsoft YaHei"/>
    </x:font>
    <x:font>
      <x:b/>
      <x:sz val="19"/>
      <x:color rgb="FFFFFFFF"/>
      <x:name val="Microsoft YaHei"/>
    </x:font>
    <x:font>
      <x:sz val="10"/>
      <x:color rgb="FF243247"/>
      <x:name val="Microsoft YaHei"/>
    </x:font>
    <x:font>
      <x:b/>
      <x:sz val="11"/>
      <x:color rgb="FF24324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55D58"/>
      </x:patternFill>
    </x:fill>
    <x:fill>
      <x:patternFill patternType="solid">
        <x:fgColor rgb="FFEAF3EF"/>
      </x:patternFill>
    </x:fill>
    <x:fill>
      <x:patternFill patternType="solid">
        <x:fgColor rgb="FFDDEBE5"/>
      </x:patternFill>
    </x:fill>
    <x:fill>
      <x:patternFill patternType="solid">
        <x:fgColor rgb="FFF5F8F7"/>
      </x:patternFill>
    </x:fill>
  </x:fills>
  <x:borders count="4">
    <x:border/>
    <x:border>
      <x:bottom style="thin">
        <x:color rgb="FFD5DFDC"/>
      </x:bottom>
    </x:border>
    <x:border>
      <x:top style="thin">
        <x:color rgb="FFD5DFDC"/>
      </x:top>
      <x:bottom style="thin">
        <x:color rgb="FFD5DFDC"/>
      </x:bottom>
    </x:border>
    <x:border>
      <x:top style="thin">
        <x:color rgb="FFD5DFDC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0" fontId="1" fillId="5" borderId="3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5" borderId="2" xfId="0" applyNumberFormat="1" applyFont="1" applyFill="1" applyBorder="1" applyAlignment="1">
      <x:alignment horizontal="center" vertical="center" wrapText="1"/>
    </x:xf>
    <x:xf numFmtId="200" fontId="1" fillId="5" borderId="3" xfId="0" applyNumberFormat="1" applyFont="1" applyFill="1" applyBorder="1" applyAlignment="1">
      <x:alignment horizontal="center" vertical="center" wrapText="1"/>
    </x:xf>
    <x:xf numFmtId="201" fontId="1" fillId="5" borderId="2" xfId="0" applyNumberFormat="1" applyFont="1" applyFill="1" applyBorder="1" applyAlignment="1">
      <x:alignment horizontal="center" vertical="center" wrapText="1"/>
    </x:xf>
    <x:xf numFmtId="201" fontId="1" fillId="0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2" fontId="1" fillId="3" borderId="2" xfId="0" applyNumberFormat="1" applyFont="1" applyFill="1" applyBorder="1" applyAlignment="1">
      <x:alignment vertical="center" wrapText="1"/>
    </x:xf>
    <x:xf numFmtId="202" fontId="1" fillId="0" borderId="3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8C5126"/>
      </x:font>
      <x:fill>
        <x:patternFill patternType="solid">
          <x:bgColor rgb="FFFFF1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a26c71e29402d" /><Relationship Type="http://schemas.openxmlformats.org/officeDocument/2006/relationships/theme" Target="/xl/theme/theme1.xml" Id="Rf32d09a04ec24c86" /><Relationship Type="http://schemas.openxmlformats.org/officeDocument/2006/relationships/sharedStrings" Target="/xl/sharedStrings.xml" Id="R58753cbc64224d2f" /><Relationship Type="http://schemas.openxmlformats.org/officeDocument/2006/relationships/worksheet" Target="/xl/worksheets/sheet1.xml" Id="Rd2ba4c8894eb4d73" /><Relationship Type="http://schemas.openxmlformats.org/officeDocument/2006/relationships/worksheet" Target="/xl/worksheets/sheet2.xml" Id="Ref5d25cbcb834087" /><Relationship Type="http://schemas.openxmlformats.org/officeDocument/2006/relationships/worksheet" Target="/xl/worksheets/sheet3.xml" Id="Rc68c6d08739346ce" /><Relationship Type="http://schemas.openxmlformats.org/officeDocument/2006/relationships/worksheet" Target="/xl/worksheets/sheet4.xml" Id="Rd4b9f138e6954ca9" /><Relationship Type="http://schemas.openxmlformats.org/officeDocument/2006/relationships/worksheet" Target="/xl/worksheets/sheet5.xml" Id="R4a256a4edab74bb1" /><Relationship Type="http://schemas.openxmlformats.org/officeDocument/2006/relationships/worksheet" Target="/xl/worksheets/sheet6.xml" Id="R3f12ed96cb87429e" /><Relationship Type="http://schemas.openxmlformats.org/officeDocument/2006/relationships/worksheet" Target="/xl/worksheets/sheet7.xml" Id="R0ebc5d7375eb49b5" /><Relationship Type="http://schemas.openxmlformats.org/officeDocument/2006/relationships/worksheet" Target="/xl/worksheets/sheet8.xml" Id="R968b5a6487c74656" /></Relationships>
</file>

<file path=xl/tables/table1.xml><?xml version="1.0" encoding="utf-8"?>
<x:table xmlns:x="http://schemas.openxmlformats.org/spreadsheetml/2006/main" id="1" name="Handoff1" displayName="Handoff1" ref="A4:C14" headerRowCount="1" totalsRowCount="0" totalsRowShown="0">
  <x:autoFilter ref="A4:C14"/>
  <x:tableColumns count="3">
    <x:tableColumn id="1" name="主题"/>
    <x:tableColumn id="2" name="阅读要点"/>
    <x:tableColumn id="3" name="在哪里阅读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Handoff2" displayName="Handoff2" ref="A4:E17" headerRowCount="1" totalsRowCount="0" totalsRowShown="0">
  <x:autoFilter ref="A4:E17"/>
  <x:tableColumns count="5">
    <x:tableColumn id="1" name="类别"/>
    <x:tableColumn id="2" name="对象"/>
    <x:tableColumn id="3" name="做什么 / 使用条件"/>
    <x:tableColumn id="4" name="边界 / 运行注意"/>
    <x:tableColumn id="5" name="材料依据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4" name="Handoff3" displayName="Handoff3" ref="A4:L19" headerRowCount="1" totalsRowCount="0" totalsRowShown="0">
  <x:autoFilter ref="A4:L19"/>
  <x:tableColumns count="12">
    <x:tableColumn id="1" name="范围"/>
    <x:tableColumn id="2" name="指标"/>
    <x:tableColumn id="3" name="单位"/>
    <x:tableColumn id="4" name="n"/>
    <x:tableColumn id="5" name="Fixed 均值"/>
    <x:tableColumn id="6" name="Fixed s.d."/>
    <x:tableColumn id="7" name="Directional 均值"/>
    <x:tableColumn id="8" name="Directional s.d."/>
    <x:tableColumn id="9" name="WeaveTP 均值"/>
    <x:tableColumn id="10" name="WeaveTP s.d."/>
    <x:tableColumn id="11" name="相对 Fixed 降幅"/>
    <x:tableColumn id="12" name="相对 Directional 降幅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5" name="Handoff4" displayName="Handoff4" ref="A4:G29" headerRowCount="1" totalsRowCount="0" totalsRowShown="0">
  <x:autoFilter ref="A4:G29"/>
  <x:tableColumns count="7">
    <x:tableColumn id="1" name="方法"/>
    <x:tableColumn id="2" name="指标"/>
    <x:tableColumn id="3" name="单位"/>
    <x:tableColumn id="4" name="n"/>
    <x:tableColumn id="5" name="均值"/>
    <x:tableColumn id="6" name="样本标准差"/>
    <x:tableColumn id="7" name="如何解释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6" name="Handoff5" displayName="Handoff5" ref="A4:I30" headerRowCount="1" totalsRowCount="0" totalsRowShown="0">
  <x:autoFilter ref="A4:I30"/>
  <x:tableColumns count="9">
    <x:tableColumn id="1" name="简称"/>
    <x:tableColumn id="2" name="论文题名 / 标识"/>
    <x:tableColumn id="3" name="研究角度"/>
    <x:tableColumn id="4" name="发表信息"/>
    <x:tableColumn id="5" name="核心思路"/>
    <x:tableColumn id="6" name="与本项目的关系"/>
    <x:tableColumn id="7" name="本项目进度"/>
    <x:tableColumn id="8" name="元数据依据"/>
    <x:tableColumn id="9" name="论文 / 官方来源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7" name="Handoff6" displayName="Handoff6" ref="A4:G15" headerRowCount="1" totalsRowCount="0" totalsRowShown="0">
  <x:autoFilter ref="A4:G15"/>
  <x:tableColumns count="7">
    <x:tableColumn id="1" name="对象"/>
    <x:tableColumn id="2" name="复现身份"/>
    <x:tableColumn id="3" name="已覆盖内容"/>
    <x:tableColumn id="4" name="可核对的证据层级"/>
    <x:tableColumn id="5" name="设备 / 工作负载"/>
    <x:tableColumn id="6" name="当前结论"/>
    <x:tableColumn id="7" name="复现注意事项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3" name="Handoff7" displayName="Handoff7" ref="A4:J56" headerRowCount="1" totalsRowCount="0" totalsRowShown="0">
  <x:autoFilter ref="A4:J56"/>
  <x:tableColumns count="10">
    <x:tableColumn id="1" name="批次"/>
    <x:tableColumn id="2" name="配置 / 方法"/>
    <x:tableColumn id="3" name="Launch"/>
    <x:tableColumn id="4" name="汇总范围"/>
    <x:tableColumn id="5" name="Base wall (s)"/>
    <x:tableColumn id="6" name="Transport (s)"/>
    <x:tableColumn id="7" name="Switch wall (s)"/>
    <x:tableColumn id="8" name="TPOT mean (ms)"/>
    <x:tableColumn id="9" name="TPOT p95 摘要 (ms)"/>
    <x:tableColumn id="10" name="来源编号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Handoff8" displayName="Handoff8" ref="A4:E16" headerRowCount="1" totalsRowCount="0" totalsRowShown="0">
  <x:autoFilter ref="A4:E16"/>
  <x:tableColumns count="5">
    <x:tableColumn id="1" name="指标 / 术语"/>
    <x:tableColumn id="2" name="单位 / 层级"/>
    <x:tableColumn id="3" name="含义与汇总方式"/>
    <x:tableColumn id="4" name="不能如何解释"/>
    <x:tableColumn id="5" name="材料依据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e700db91a842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0f9cb17746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992961e8d448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54c96a0e864f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4867ad11d424e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0038e96d5942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a694f7d444041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d84071f20864a6a" /></Relationships>
</file>

<file path=xl/worksheets/sheet1.xml><?xml version="1.0" encoding="utf-8"?>
<x:worksheet xmlns:x="http://schemas.openxmlformats.org/spreadsheetml/2006/main">
  <x:sheetPr>
    <x:tabColor rgb="FF255D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.3799991607666" hidden="0" customWidth="1"/>
    <x:col min="2" max="2" width="86.87999725341797" hidden="0" customWidth="1"/>
    <x:col min="3" max="3" width="37.5" hidden="0" customWidth="1"/>
  </x:cols>
  <x:sheetData>
    <x:row r="1" ht="38" customHeight="1">
      <x:c r="A1" s="5" t="str">
        <x:v>WeaveTP｜阅读导航</x:v>
      </x:c>
      <x:c r="B1" s="5"/>
      <x:c r="C1" s="5"/>
    </x:row>
    <x:row r="2" ht="43" customHeight="1">
      <x:c r="A2" s="7" t="str">
        <x:v>2026-09-20｜先读研究边界，再看代码入口、同口径结果和复现步骤。</x:v>
      </x:c>
      <x:c r="B2" s="7"/>
      <x:c r="C2" s="7"/>
    </x:row>
    <x:row r="3">
      <x:c r="A3" s="3"/>
      <x:c r="B3" s="3"/>
      <x:c r="C3" s="3"/>
    </x:row>
    <x:row r="4" ht="32" customHeight="1">
      <x:c r="A4" s="11" t="str">
        <x:v>主题</x:v>
      </x:c>
      <x:c r="B4" s="11" t="str">
        <x:v>阅读要点</x:v>
      </x:c>
      <x:c r="C4" s="11" t="str">
        <x:v>在哪里阅读</x:v>
      </x:c>
    </x:row>
    <x:row r="5" ht="61" customHeight="1">
      <x:c r="A5" s="12" t="str">
        <x:v>研究目标</x:v>
      </x:c>
      <x:c r="B5" s="12" t="str">
        <x:v>动态调整 TP/GPU 分配以适应任务与阶段；长尾、空转和整体完成时间收益仍待验证。</x:v>
      </x:c>
      <x:c r="C5" s="12" t="str">
        <x:v>代码与设备 / 阅读指南 README</x:v>
      </x:c>
    </x:row>
    <x:row r="6" ht="61" customHeight="1">
      <x:c r="A6" s="13" t="str">
        <x:v>已有主结果</x:v>
      </x:c>
      <x:c r="B6" s="13" t="str">
        <x:v>扩容 switch wall 相对 Fixed-2048 低 38.7%，相对 Directional 低 5.6%；收缩未观察到收益。</x:v>
      </x:c>
      <x:c r="C6" s="13" t="str">
        <x:v>正式三轮结果</x:v>
      </x:c>
    </x:row>
    <x:row r="7" ht="61" customHeight="1">
      <x:c r="A7" s="12" t="str">
        <x:v>三篇对比论文</x:v>
      </x:c>
      <x:c r="B7" s="12" t="str">
        <x:v>AnchorTP 历史结果为旧代理（含 WeaveTP residual 与改道）；新实现尚无 GPU 结果，新旧不能混合比较。Flying/Llumnix 仍为机制代理。</x:v>
      </x:c>
      <x:c r="C7" s="12" t="str">
        <x:v>历史机制对照 / 各 baseline README</x:v>
      </x:c>
    </x:row>
    <x:row r="8" ht="61" customHeight="1">
      <x:c r="A8" s="13" t="str">
        <x:v>另一组复现工作</x:v>
      </x:c>
      <x:c r="B8" s="13" t="str">
        <x:v>HarMoEny、ExpertFlow：官方代码准备；FIRM-MoE：CPU 算法小型验证。没有已确认的原生 GPU 性能结果。</x:v>
      </x:c>
      <x:c r="C8" s="13" t="str">
        <x:v>复现状态</x:v>
      </x:c>
    </x:row>
    <x:row r="9" ht="61" customHeight="1">
      <x:c r="A9" s="12" t="str">
        <x:v>统计单位</x:v>
      </x:c>
      <x:c r="B9" s="12" t="str">
        <x:v>正式 n=3、历史 n=5，均为独立 process launch。rank、波次、同一 launch 的切换不能当独立重复。</x:v>
      </x:c>
      <x:c r="C9" s="12" t="str">
        <x:v>逐轮数据</x:v>
      </x:c>
    </x:row>
    <x:row r="10" ht="61" customHeight="1">
      <x:c r="A10" s="13" t="str">
        <x:v>测量边界</x:v>
      </x:c>
      <x:c r="B10" s="13" t="str">
        <x:v>Switch 包含切换后数值检查；不是客户端停顿。循环均值不是整体推理完成时间。TPOT p95 摘要不是服务 SLO。</x:v>
      </x:c>
      <x:c r="C10" s="13" t="str">
        <x:v>实验结果 README</x:v>
      </x:c>
    </x:row>
    <x:row r="11" ht="61" customHeight="1">
      <x:c r="A11" s="12" t="str">
        <x:v>数据复核</x:v>
      </x:c>
      <x:c r="B11" s="12" t="str">
        <x:v>已复算正式 9 份、历史 25 份原始 JSON，与既有汇总一致；不改写历史记录。</x:v>
      </x:c>
      <x:c r="C11" s="12" t="str">
        <x:v>逐轮数据 / 指标说明</x:v>
      </x:c>
    </x:row>
    <x:row r="12" ht="61" customHeight="1">
      <x:c r="A12" s="13" t="str">
        <x:v>阅读定位</x:v>
      </x:c>
      <x:c r="B12" s="13" t="str">
        <x:v>Excel 可筛选。正值“降幅”表示数值降低，负值表示变高；不作统计显著性判断。</x:v>
      </x:c>
      <x:c r="C12" s="13" t="str">
        <x:v>正式三轮结果</x:v>
      </x:c>
    </x:row>
    <x:row r="13" ht="61" customHeight="1">
      <x:c r="A13" s="12" t="str">
        <x:v>文献范围</x:v>
      </x:c>
      <x:c r="B13" s="12" t="str">
        <x:v>原调研表 16 篇，加已有代码/调研记录的 10 篇，共 26 篇；发表信息区分本次核验与历史记录。</x:v>
      </x:c>
      <x:c r="C13" s="12" t="str">
        <x:v>论文调研</x:v>
      </x:c>
    </x:row>
    <x:row r="14" ht="61" customHeight="1">
      <x:c r="A14" s="14" t="str">
        <x:v>运行前检查</x:v>
      </x:c>
      <x:c r="B14" s="14" t="str">
        <x:v>先确认解释器、checkpoint、带宽画像、设备授权和预算，再选择实验入口；新结果单独保存。</x:v>
      </x:c>
      <x:c r="C14" s="14" t="str">
        <x:v>README_先读 / 环境检查表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0e700db91a84260"/>
  </x:tableParts>
</x:worksheet>
</file>

<file path=xl/worksheets/sheet2.xml><?xml version="1.0" encoding="utf-8"?>
<x:worksheet xmlns:x="http://schemas.openxmlformats.org/spreadsheetml/2006/main">
  <x:sheetPr>
    <x:tabColor rgb="FF255D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380000114440918" hidden="0" customWidth="1"/>
    <x:col min="2" max="2" width="22.5" hidden="0" customWidth="1"/>
    <x:col min="3" max="3" width="57.5" hidden="0" customWidth="1"/>
    <x:col min="4" max="4" width="51.25" hidden="0" customWidth="1"/>
    <x:col min="5" max="5" width="23.1299991607666" hidden="0" customWidth="1"/>
  </x:cols>
  <x:sheetData>
    <x:row r="1" ht="38" customHeight="1">
      <x:c r="A1" s="5" t="str">
        <x:v>WeaveTP｜代码与设备</x:v>
      </x:c>
      <x:c r="B1" s="5"/>
      <x:c r="C1" s="5"/>
      <x:c r="D1" s="5"/>
      <x:c r="E1" s="5"/>
    </x:row>
    <x:row r="2" ht="43" customHeight="1">
      <x:c r="A2" s="7" t="str">
        <x:v>先分清实验平台、当前环境快照和代码职责；正式三轮为 2026-09-01，后续环境核对为 09-11—09-12；操作顺序见 README_先读。</x:v>
      </x:c>
      <x:c r="B2" s="7"/>
      <x:c r="C2" s="7"/>
      <x:c r="D2" s="7"/>
      <x:c r="E2" s="7"/>
    </x:row>
    <x:row r="3">
      <x:c r="A3" s="3"/>
      <x:c r="B3" s="3"/>
      <x:c r="C3" s="3"/>
      <x:c r="D3" s="3"/>
      <x:c r="E3" s="3"/>
    </x:row>
    <x:row r="4" ht="32" customHeight="1">
      <x:c r="A4" s="11" t="str">
        <x:v>类别</x:v>
      </x:c>
      <x:c r="B4" s="11" t="str">
        <x:v>对象</x:v>
      </x:c>
      <x:c r="C4" s="11" t="str">
        <x:v>做什么 / 使用条件</x:v>
      </x:c>
      <x:c r="D4" s="11" t="str">
        <x:v>边界 / 运行注意</x:v>
      </x:c>
      <x:c r="E4" s="11" t="str">
        <x:v>材料依据</x:v>
      </x:c>
    </x:row>
    <x:row r="5" ht="70" customHeight="1">
      <x:c r="A5" s="12" t="str">
        <x:v>设备</x:v>
      </x:c>
      <x:c r="B5" s="12" t="str">
        <x:v>正式 GPU 实验</x:v>
      </x:c>
      <x:c r="C5" s="12" t="str">
        <x:v>8 × NVIDIA RTX 5090；DeepSeek-V2-Lite；TP2↔TP4；EP=2；64 专家</x:v>
      </x:c>
      <x:c r="D5" s="12" t="str">
        <x:v>有正式三轮与历史五轮测量</x:v>
      </x:c>
      <x:c r="E5" s="12" t="str">
        <x:v>正式三轮记录；历史五轮记录</x:v>
      </x:c>
    </x:row>
    <x:row r="6" ht="70" customHeight="1">
      <x:c r="A6" s="13" t="str">
        <x:v>设备</x:v>
      </x:c>
      <x:c r="B6" s="13" t="str">
        <x:v>后续服务器检查</x:v>
      </x:c>
      <x:c r="C6" s="13" t="str">
        <x:v>8 × RTX 5090，约 32 GB/卡；Ubuntu 22.04.5；Python 3.12.13；PyTorch 2.11.0+cu128；CUDA 12.8</x:v>
      </x:c>
      <x:c r="D6" s="13" t="str">
        <x:v>后续环境快照，不是历史性能环境锁定</x:v>
      </x:c>
      <x:c r="E6" s="13" t="str">
        <x:v>后续正确性/环境核对</x:v>
      </x:c>
    </x:row>
    <x:row r="7" ht="70" customHeight="1">
      <x:c r="A7" s="12" t="str">
        <x:v>设备</x:v>
      </x:c>
      <x:c r="B7" s="12" t="str">
        <x:v>本地 CPU</x:v>
      </x:c>
      <x:c r="C7" s="12" t="str">
        <x:v>Windows；小型独立张量参考、映射/接口测试、数据复算</x:v>
      </x:c>
      <x:c r="D7" s="12" t="str">
        <x:v>不能替代真实 GPU 异步验证</x:v>
      </x:c>
      <x:c r="E7" s="12" t="str">
        <x:v>后续正确性/环境核对</x:v>
      </x:c>
    </x:row>
    <x:row r="8" ht="70" customHeight="1">
      <x:c r="A8" s="13" t="str">
        <x:v>数据</x:v>
      </x:c>
      <x:c r="B8" s="13" t="str">
        <x:v>模型与带宽画像</x:v>
      </x:c>
      <x:c r="C8" s="13" t="str">
        <x:v>转换后的 DeepSeek-V2-Lite checkpoint、8 GPU 带宽 profile</x:v>
      </x:c>
      <x:c r="D8" s="13" t="str">
        <x:v>曾只读确认存在；不随本资料包分发</x:v>
      </x:c>
      <x:c r="E8" s="13" t="str">
        <x:v>后续正确性/环境核对</x:v>
      </x:c>
    </x:row>
    <x:row r="9" ht="70" customHeight="1">
      <x:c r="A9" s="12" t="str">
        <x:v>代码</x:v>
      </x:c>
      <x:c r="B9" s="12" t="str">
        <x:v>Benchmark 驱动</x:v>
      </x:c>
      <x:c r="C9" s="12" t="str">
        <x:v>常驻双布局、token 推进、四次交替切换、数值检查与计时</x:v>
      </x:c>
      <x:c r="D9" s="12" t="str">
        <x:v>测试执行骨架，不是自动任务调度器</x:v>
      </x:c>
      <x:c r="E9" s="12" t="str">
        <x:v>源码及归档</x:v>
      </x:c>
    </x:row>
    <x:row r="10" ht="70" customHeight="1">
      <x:c r="A10" s="13" t="str">
        <x:v>代码</x:v>
      </x:c>
      <x:c r="B10" s="13" t="str">
        <x:v>Planner / refit</x:v>
      </x:c>
      <x:c r="C10" s="13" t="str">
        <x:v>按逻辑张量、分片与专家身份建立并缓存源—目标计划</x:v>
      </x:c>
      <x:c r="D10" s="13" t="str">
        <x:v>同名局部专家不一定是同一全局专家</x:v>
      </x:c>
      <x:c r="E10" s="13" t="str">
        <x:v>源码及归档</x:v>
      </x:c>
    </x:row>
    <x:row r="11" ht="70" customHeight="1">
      <x:c r="A11" s="12" t="str">
        <x:v>代码</x:v>
      </x:c>
      <x:c r="B11" s="12" t="str">
        <x:v>Source selection</x:v>
      </x:c>
      <x:c r="C11" s="12" t="str">
        <x:v>筛选满足目标逻辑切片的等价源，估计传输代价</x:v>
      </x:c>
      <x:c r="D11" s="12" t="str">
        <x:v>正式收益来自初始化缓存计划；不是在线闭环</x:v>
      </x:c>
      <x:c r="E11" s="12" t="str">
        <x:v>源码及归档</x:v>
      </x:c>
    </x:row>
    <x:row r="12" ht="70" customHeight="1">
      <x:c r="A12" s="13" t="str">
        <x:v>代码</x:v>
      </x:c>
      <x:c r="B12" s="13" t="str">
        <x:v>Wave scheduler</x:v>
      </x:c>
      <x:c r="C12" s="13" t="str">
        <x:v>分波提交；正式扩容 4096、收缩 2048 tasks/wave</x:v>
      </x:c>
      <x:c r="D12" s="13" t="str">
        <x:v>测量配置，不是普遍最优规则</x:v>
      </x:c>
      <x:c r="E12" s="13" t="str">
        <x:v>正式三轮记录；源码及归档</x:v>
      </x:c>
    </x:row>
    <x:row r="13" ht="70" customHeight="1">
      <x:c r="A13" s="12" t="str">
        <x:v>代码</x:v>
      </x:c>
      <x:c r="B13" s="12" t="str">
        <x:v>Async execution</x:v>
      </x:c>
      <x:c r="C13" s="12" t="str">
        <x:v>launch、wait、commit；处理目标写入及完成依赖</x:v>
      </x:c>
      <x:c r="D13" s="12" t="str">
        <x:v>后续局部修补版不能直接视作历史运行版</x:v>
      </x:c>
      <x:c r="E13" s="12" t="str">
        <x:v>源码及归档；后续正确性/环境核对</x:v>
      </x:c>
    </x:row>
    <x:row r="14" ht="70" customHeight="1">
      <x:c r="A14" s="13" t="str">
        <x:v>代码</x:v>
      </x:c>
      <x:c r="B14" s="13" t="str">
        <x:v>Copy service</x:v>
      </x:c>
      <x:c r="C14" s="13" t="str">
        <x:v>本地复制与远程传输；生产 GPU 数据路径为 NCCL</x:v>
      </x:c>
      <x:c r="D14" s="13" t="str">
        <x:v>Gloo 协调/CPU 通路与 NCCL 数据通路分开理解</x:v>
      </x:c>
      <x:c r="E14" s="13" t="str">
        <x:v>源码及归档</x:v>
      </x:c>
    </x:row>
    <x:row r="15" ht="70" customHeight="1">
      <x:c r="A15" s="12" t="str">
        <x:v>代码</x:v>
      </x:c>
      <x:c r="B15" s="12" t="str">
        <x:v>KV / handoff</x:v>
      </x:c>
      <x:c r="C15" s="12" t="str">
        <x:v>稳定前缀 [0,s)，最终补齐 [s,c)，就绪后激活目标</x:v>
      </x:c>
      <x:c r="D15" s="12" t="str">
        <x:v>相同 offset 不保证同请求历史；存在有限暂停</x:v>
      </x:c>
      <x:c r="E15" s="12" t="str">
        <x:v>源码及归档</x:v>
      </x:c>
    </x:row>
    <x:row r="16" ht="70" customHeight="1">
      <x:c r="A16" s="13" t="str">
        <x:v>代码</x:v>
      </x:c>
      <x:c r="B16" s="13" t="str">
        <x:v>验证与统计</x:v>
      </x:c>
      <x:c r="C16" s="13" t="str">
        <x:v>历史 BF16-relative 检查、CPU 参考、逐 launch 汇总</x:v>
      </x:c>
      <x:c r="D16" s="13" t="str">
        <x:v>真实模型强状态/继续执行对照尚需运行证据</x:v>
      </x:c>
      <x:c r="E16" s="13" t="str">
        <x:v>正式三轮记录；后续正确性/环境核对</x:v>
      </x:c>
    </x:row>
    <x:row r="17" ht="70" customHeight="1">
      <x:c r="A17" s="15" t="str">
        <x:v>版本</x:v>
      </x:c>
      <x:c r="B17" s="15" t="str">
        <x:v>只读归档与开发副本</x:v>
      </x:c>
      <x:c r="C17" s="15" t="str">
        <x:v>newtext 保留历史材料；开发副本承担后续修补</x:v>
      </x:c>
      <x:c r="D17" s="15" t="str">
        <x:v>本地快照与历史服务器精确 Git 身份未完全对齐</x:v>
      </x:c>
      <x:c r="E17" s="15" t="str">
        <x:v>源码及归档；后续正确性/环境核对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d0f9cb177464b5a"/>
  </x:tableParts>
</x:worksheet>
</file>

<file path=xl/worksheets/sheet3.xml><?xml version="1.0" encoding="utf-8"?>
<x:worksheet xmlns:x="http://schemas.openxmlformats.org/spreadsheetml/2006/main">
  <x:sheetPr>
    <x:tabColor rgb="FF255D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7.5" hidden="0" customWidth="1"/>
    <x:col min="3" max="3" width="6.880000114440918" hidden="0" customWidth="1"/>
    <x:col min="4" max="4" width="5.630000114440918" hidden="0" customWidth="1"/>
    <x:col min="5" max="5" width="14.380000114440918" hidden="0" customWidth="1"/>
    <x:col min="6" max="6" width="13.75" hidden="0" customWidth="1"/>
    <x:col min="7" max="7" width="17.5" hidden="0" customWidth="1"/>
    <x:col min="8" max="8" width="17.5" hidden="0" customWidth="1"/>
    <x:col min="9" max="9" width="15.630000114440918" hidden="0" customWidth="1"/>
    <x:col min="10" max="10" width="15" hidden="0" customWidth="1"/>
    <x:col min="11" max="11" width="18.75" hidden="0" customWidth="1"/>
    <x:col min="12" max="12" width="21.25" hidden="0" customWidth="1"/>
  </x:cols>
  <x:sheetData>
    <x:row r="1" ht="38" customHeight="1">
      <x:c r="A1" s="5" t="str">
        <x:v>WeaveTP｜正式三轮结果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3" customHeight="1">
      <x:c r="A2" s="7" t="str">
        <x:v>2026-09-01｜均值 ± sample s.d.，n=3 独立 launches；循环是每次切换均值。计时范围重叠，不可相加；正降幅=减少，负值=增加。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2" customHeight="1">
      <x:c r="A4" s="11" t="str">
        <x:v>范围</x:v>
      </x:c>
      <x:c r="B4" s="11" t="str">
        <x:v>指标</x:v>
      </x:c>
      <x:c r="C4" s="11" t="str">
        <x:v>单位</x:v>
      </x:c>
      <x:c r="D4" s="11" t="str">
        <x:v>n</x:v>
      </x:c>
      <x:c r="E4" s="11" t="str">
        <x:v>Fixed 均值</x:v>
      </x:c>
      <x:c r="F4" s="11" t="str">
        <x:v>Fixed s.d.</x:v>
      </x:c>
      <x:c r="G4" s="11" t="str">
        <x:v>Directional 均值</x:v>
      </x:c>
      <x:c r="H4" s="11" t="str">
        <x:v>Directional s.d.</x:v>
      </x:c>
      <x:c r="I4" s="11" t="str">
        <x:v>WeaveTP 均值</x:v>
      </x:c>
      <x:c r="J4" s="11" t="str">
        <x:v>WeaveTP s.d.</x:v>
      </x:c>
      <x:c r="K4" s="11" t="str">
        <x:v>相对 Fixed 降幅</x:v>
      </x:c>
      <x:c r="L4" s="11" t="str">
        <x:v>相对 Directional 降幅</x:v>
      </x:c>
    </x:row>
    <x:row r="5" ht="40" customHeight="1">
      <x:c r="A5" s="12" t="str">
        <x:v>扩容</x:v>
      </x:c>
      <x:c r="B5" s="12" t="str">
        <x:v>Migration base wall</x:v>
      </x:c>
      <x:c r="C5" s="12" t="str">
        <x:v>s</x:v>
      </x:c>
      <x:c r="D5" s="12" t="n">
        <x:v>3</x:v>
      </x:c>
      <x:c r="E5" s="16" t="n">
        <x:f>AVERAGE('逐轮数据'!E5,'逐轮数据'!E8,'逐轮数据'!E11)</x:f>
        <x:v>6.397602501325309</x:v>
      </x:c>
      <x:c r="F5" s="16" t="n">
        <x:f>STDEV('逐轮数据'!E5,'逐轮数据'!E8,'逐轮数据'!E11)</x:f>
        <x:v>0.16502490872904843</x:v>
      </x:c>
      <x:c r="G5" s="16" t="n">
        <x:f>AVERAGE('逐轮数据'!E14,'逐轮数据'!E17,'逐轮数据'!E20)</x:f>
        <x:v>3.8878590983804315</x:v>
      </x:c>
      <x:c r="H5" s="16" t="n">
        <x:f>STDEV('逐轮数据'!E14,'逐轮数据'!E17,'逐轮数据'!E20)</x:f>
        <x:v>0.02192594246862174</x:v>
      </x:c>
      <x:c r="I5" s="16" t="n">
        <x:f>AVERAGE('逐轮数据'!E23,'逐轮数据'!E26,'逐轮数据'!E29)</x:f>
        <x:v>3.5887144859104105</x:v>
      </x:c>
      <x:c r="J5" s="16" t="n">
        <x:f>STDEV('逐轮数据'!E23,'逐轮数据'!E26,'逐轮数据'!E29)</x:f>
        <x:v>0.057186694317226526</x:v>
      </x:c>
      <x:c r="K5" s="30" t="n">
        <x:f>1-I5/E5</x:f>
        <x:v>0.4390532257721572</x:v>
      </x:c>
      <x:c r="L5" s="30" t="n">
        <x:f>1-I5/G5</x:f>
        <x:v>0.07694327518058353</x:v>
      </x:c>
    </x:row>
    <x:row r="6" ht="40" customHeight="1">
      <x:c r="A6" s="13" t="str">
        <x:v>扩容</x:v>
      </x:c>
      <x:c r="B6" s="13" t="str">
        <x:v>Transport</x:v>
      </x:c>
      <x:c r="C6" s="13" t="str">
        <x:v>s</x:v>
      </x:c>
      <x:c r="D6" s="13" t="n">
        <x:v>3</x:v>
      </x:c>
      <x:c r="E6" s="17" t="n">
        <x:f>AVERAGE('逐轮数据'!F5,'逐轮数据'!F8,'逐轮数据'!F11)</x:f>
        <x:v>2.176356039762497</x:v>
      </x:c>
      <x:c r="F6" s="17" t="n">
        <x:f>STDEV('逐轮数据'!F5,'逐轮数据'!F8,'逐轮数据'!F11)</x:f>
        <x:v>0.04340280570784532</x:v>
      </x:c>
      <x:c r="G6" s="17" t="n">
        <x:f>AVERAGE('逐轮数据'!F14,'逐轮数据'!F17,'逐轮数据'!F20)</x:f>
        <x:v>1.865203581651052</x:v>
      </x:c>
      <x:c r="H6" s="17" t="n">
        <x:f>STDEV('逐轮数据'!F14,'逐轮数据'!F17,'逐轮数据'!F20)</x:f>
        <x:v>0.005126396391246501</x:v>
      </x:c>
      <x:c r="I6" s="17" t="n">
        <x:f>AVERAGE('逐轮数据'!F23,'逐轮数据'!F26,'逐轮数据'!F29)</x:f>
        <x:v>1.7525707906087238</x:v>
      </x:c>
      <x:c r="J6" s="17" t="n">
        <x:f>STDEV('逐轮数据'!F23,'逐轮数据'!F26,'逐轮数据'!F29)</x:f>
        <x:v>0.0220451247851707</x:v>
      </x:c>
      <x:c r="K6" s="31" t="n">
        <x:f>1-I6/E6</x:f>
        <x:v>0.19472238981633738</x:v>
      </x:c>
      <x:c r="L6" s="31" t="n">
        <x:f>1-I6/G6</x:f>
        <x:v>0.06038632573428104</x:v>
      </x:c>
    </x:row>
    <x:row r="7" ht="40" customHeight="1">
      <x:c r="A7" s="27" t="str">
        <x:v>扩容</x:v>
      </x:c>
      <x:c r="B7" s="27" t="str">
        <x:v>Benchmark switch wall</x:v>
      </x:c>
      <x:c r="C7" s="27" t="str">
        <x:v>s</x:v>
      </x:c>
      <x:c r="D7" s="27" t="n">
        <x:v>3</x:v>
      </x:c>
      <x:c r="E7" s="28" t="n">
        <x:f>AVERAGE('逐轮数据'!G5,'逐轮数据'!G8,'逐轮数据'!G11)</x:f>
        <x:v>7.156221085771297</x:v>
      </x:c>
      <x:c r="F7" s="28" t="n">
        <x:f>STDEV('逐轮数据'!G5,'逐轮数据'!G8,'逐轮数据'!G11)</x:f>
        <x:v>0.12234391705820716</x:v>
      </x:c>
      <x:c r="G7" s="28" t="n">
        <x:f>AVERAGE('逐轮数据'!G14,'逐轮数据'!G17,'逐轮数据'!G20)</x:f>
        <x:v>4.644769986004879</x:v>
      </x:c>
      <x:c r="H7" s="28" t="n">
        <x:f>STDEV('逐轮数据'!G14,'逐轮数据'!G17,'逐轮数据'!G20)</x:f>
        <x:v>0.03575852389513977</x:v>
      </x:c>
      <x:c r="I7" s="28" t="n">
        <x:f>AVERAGE('逐轮数据'!G23,'逐轮数据'!G26,'逐轮数据'!G29)</x:f>
        <x:v>4.385968121156718</x:v>
      </x:c>
      <x:c r="J7" s="28" t="n">
        <x:f>STDEV('逐轮数据'!G23,'逐轮数据'!G26,'逐轮数据'!G29)</x:f>
        <x:v>0.08124185647699392</x:v>
      </x:c>
      <x:c r="K7" s="32" t="n">
        <x:f>1-I7/E7</x:f>
        <x:v>0.3871111486651341</x:v>
      </x:c>
      <x:c r="L7" s="32" t="n">
        <x:f>1-I7/G7</x:f>
        <x:v>0.05571898406766218</x:v>
      </x:c>
    </x:row>
    <x:row r="8" ht="40" customHeight="1">
      <x:c r="A8" s="13" t="str">
        <x:v>扩容</x:v>
      </x:c>
      <x:c r="B8" s="13" t="str">
        <x:v>Foreground TPOT mean</x:v>
      </x:c>
      <x:c r="C8" s="13" t="str">
        <x:v>ms</x:v>
      </x:c>
      <x:c r="D8" s="13" t="n">
        <x:v>3</x:v>
      </x:c>
      <x:c r="E8" s="17" t="n">
        <x:f>AVERAGE('逐轮数据'!H5,'逐轮数据'!H8,'逐轮数据'!H11)</x:f>
        <x:v>333.68724017673065</x:v>
      </x:c>
      <x:c r="F8" s="17" t="n">
        <x:f>STDEV('逐轮数据'!H5,'逐轮数据'!H8,'逐轮数据'!H11)</x:f>
        <x:v>7.844358215198228</x:v>
      </x:c>
      <x:c r="G8" s="17" t="n">
        <x:f>AVERAGE('逐轮数据'!H14,'逐轮数据'!H17,'逐轮数据'!H20)</x:f>
        <x:v>332.84307861328125</x:v>
      </x:c>
      <x:c r="H8" s="17" t="n">
        <x:f>STDEV('逐轮数据'!H14,'逐轮数据'!H17,'逐轮数据'!H20)</x:f>
        <x:v>2.509569552525056</x:v>
      </x:c>
      <x:c r="I8" s="17" t="n">
        <x:f>AVERAGE('逐轮数据'!H23,'逐轮数据'!H26,'逐轮数据'!H29)</x:f>
        <x:v>326.6588948567708</x:v>
      </x:c>
      <x:c r="J8" s="17" t="n">
        <x:f>STDEV('逐轮数据'!H23,'逐轮数据'!H26,'逐轮数据'!H29)</x:f>
        <x:v>4.012897895175762</x:v>
      </x:c>
      <x:c r="K8" s="31" t="n">
        <x:f>1-I8/E8</x:f>
        <x:v>0.02106267328722977</x:v>
      </x:c>
      <x:c r="L8" s="31" t="n">
        <x:f>1-I8/G8</x:f>
        <x:v>0.01857987788802906</x:v>
      </x:c>
    </x:row>
    <x:row r="9" ht="40" customHeight="1">
      <x:c r="A9" s="12" t="str">
        <x:v>扩容</x:v>
      </x:c>
      <x:c r="B9" s="12" t="str">
        <x:v>Foreground TPOT p95 摘要</x:v>
      </x:c>
      <x:c r="C9" s="12" t="str">
        <x:v>ms</x:v>
      </x:c>
      <x:c r="D9" s="12" t="n">
        <x:v>3</x:v>
      </x:c>
      <x:c r="E9" s="16" t="n">
        <x:f>AVERAGE('逐轮数据'!I5,'逐轮数据'!I8,'逐轮数据'!I11)</x:f>
        <x:v>396.83754475911456</x:v>
      </x:c>
      <x:c r="F9" s="16" t="n">
        <x:f>STDEV('逐轮数据'!I5,'逐轮数据'!I8,'逐轮数据'!I11)</x:f>
        <x:v>24.99540508033455</x:v>
      </x:c>
      <x:c r="G9" s="16" t="n">
        <x:f>AVERAGE('逐轮数据'!I14,'逐轮数据'!I17,'逐轮数据'!I20)</x:f>
        <x:v>350.9357554117839</x:v>
      </x:c>
      <x:c r="H9" s="16" t="n">
        <x:f>STDEV('逐轮数据'!I14,'逐轮数据'!I17,'逐轮数据'!I20)</x:f>
        <x:v>15.495141049371787</x:v>
      </x:c>
      <x:c r="I9" s="16" t="n">
        <x:f>AVERAGE('逐轮数据'!I23,'逐轮数据'!I26,'逐轮数据'!I29)</x:f>
        <x:v>340.9925537109375</x:v>
      </x:c>
      <x:c r="J9" s="16" t="n">
        <x:f>STDEV('逐轮数据'!I23,'逐轮数据'!I26,'逐轮数据'!I29)</x:f>
        <x:v>7.616495000526305</x:v>
      </x:c>
      <x:c r="K9" s="30" t="n">
        <x:f>1-I9/E9</x:f>
        <x:v>0.14072506945398955</x:v>
      </x:c>
      <x:c r="L9" s="30" t="n">
        <x:f>1-I9/G9</x:f>
        <x:v>0.028333395920797866</x:v>
      </x:c>
    </x:row>
    <x:row r="10" ht="40" customHeight="1">
      <x:c r="A10" s="13" t="str">
        <x:v>收缩</x:v>
      </x:c>
      <x:c r="B10" s="13" t="str">
        <x:v>Migration base wall</x:v>
      </x:c>
      <x:c r="C10" s="13" t="str">
        <x:v>s</x:v>
      </x:c>
      <x:c r="D10" s="13" t="n">
        <x:v>3</x:v>
      </x:c>
      <x:c r="E10" s="17" t="n">
        <x:f>AVERAGE('逐轮数据'!E6,'逐轮数据'!E9,'逐轮数据'!E12)</x:f>
        <x:v>11.33708214915047</x:v>
      </x:c>
      <x:c r="F10" s="17" t="n">
        <x:f>STDEV('逐轮数据'!E6,'逐轮数据'!E9,'逐轮数据'!E12)</x:f>
        <x:v>0.3482947206589867</x:v>
      </x:c>
      <x:c r="G10" s="17" t="n">
        <x:f>AVERAGE('逐轮数据'!E15,'逐轮数据'!E18,'逐轮数据'!E21)</x:f>
        <x:v>11.406723177448535</x:v>
      </x:c>
      <x:c r="H10" s="17" t="n">
        <x:f>STDEV('逐轮数据'!E15,'逐轮数据'!E18,'逐轮数据'!E21)</x:f>
        <x:v>0.13085676586342457</x:v>
      </x:c>
      <x:c r="I10" s="17" t="n">
        <x:f>AVERAGE('逐轮数据'!E24,'逐轮数据'!E27,'逐轮数据'!E30)</x:f>
        <x:v>11.473792447320497</x:v>
      </x:c>
      <x:c r="J10" s="17" t="n">
        <x:f>STDEV('逐轮数据'!E24,'逐轮数据'!E27,'逐轮数据'!E30)</x:f>
        <x:v>0.28919665271667105</x:v>
      </x:c>
      <x:c r="K10" s="31" t="n">
        <x:f>1-I10/E10</x:f>
        <x:v>-0.012058684621974791</x:v>
      </x:c>
      <x:c r="L10" s="31" t="n">
        <x:f>1-I10/G10</x:f>
        <x:v>-0.005879801659828043</x:v>
      </x:c>
    </x:row>
    <x:row r="11" ht="40" customHeight="1">
      <x:c r="A11" s="12" t="str">
        <x:v>收缩</x:v>
      </x:c>
      <x:c r="B11" s="12" t="str">
        <x:v>Transport</x:v>
      </x:c>
      <x:c r="C11" s="12" t="str">
        <x:v>s</x:v>
      </x:c>
      <x:c r="D11" s="12" t="n">
        <x:v>3</x:v>
      </x:c>
      <x:c r="E11" s="16" t="n">
        <x:f>AVERAGE('逐轮数据'!F6,'逐轮数据'!F9,'逐轮数据'!F12)</x:f>
        <x:v>3.6750651550292965</x:v>
      </x:c>
      <x:c r="F11" s="16" t="n">
        <x:f>STDEV('逐轮数据'!F6,'逐轮数据'!F9,'逐轮数据'!F12)</x:f>
        <x:v>0.14844964769329827</x:v>
      </x:c>
      <x:c r="G11" s="16" t="n">
        <x:f>AVERAGE('逐轮数据'!F15,'逐轮数据'!F18,'逐轮数据'!F21)</x:f>
        <x:v>3.3039260737101235</x:v>
      </x:c>
      <x:c r="H11" s="16" t="n">
        <x:f>STDEV('逐轮数据'!F15,'逐轮数据'!F18,'逐轮数据'!F21)</x:f>
        <x:v>0.08547538266060271</x:v>
      </x:c>
      <x:c r="I11" s="16" t="n">
        <x:f>AVERAGE('逐轮数据'!F24,'逐轮数据'!F27,'逐轮数据'!F30)</x:f>
        <x:v>3.6396094868977866</x:v>
      </x:c>
      <x:c r="J11" s="16" t="n">
        <x:f>STDEV('逐轮数据'!F24,'逐轮数据'!F27,'逐轮数据'!F30)</x:f>
        <x:v>0.18567021036632692</x:v>
      </x:c>
      <x:c r="K11" s="30" t="n">
        <x:f>1-I11/E11</x:f>
        <x:v>0.009647629806777469</x:v>
      </x:c>
      <x:c r="L11" s="30" t="n">
        <x:f>1-I11/G11</x:f>
        <x:v>-0.10160136930991004</x:v>
      </x:c>
    </x:row>
    <x:row r="12" ht="40" customHeight="1">
      <x:c r="A12" s="27" t="str">
        <x:v>收缩</x:v>
      </x:c>
      <x:c r="B12" s="27" t="str">
        <x:v>Benchmark switch wall</x:v>
      </x:c>
      <x:c r="C12" s="27" t="str">
        <x:v>s</x:v>
      </x:c>
      <x:c r="D12" s="27" t="n">
        <x:v>3</x:v>
      </x:c>
      <x:c r="E12" s="28" t="n">
        <x:f>AVERAGE('逐轮数据'!G6,'逐轮数据'!G9,'逐轮数据'!G12)</x:f>
        <x:v>12.130163878047219</x:v>
      </x:c>
      <x:c r="F12" s="28" t="n">
        <x:f>STDEV('逐轮数据'!G6,'逐轮数据'!G9,'逐轮数据'!G12)</x:f>
        <x:v>0.3977721427422078</x:v>
      </x:c>
      <x:c r="G12" s="28" t="n">
        <x:f>AVERAGE('逐轮数据'!G15,'逐轮数据'!G18,'逐轮数据'!G21)</x:f>
        <x:v>12.18334135436453</x:v>
      </x:c>
      <x:c r="H12" s="28" t="n">
        <x:f>STDEV('逐轮数据'!G15,'逐轮数据'!G18,'逐轮数据'!G21)</x:f>
        <x:v>0.12833147159605318</x:v>
      </x:c>
      <x:c r="I12" s="28" t="n">
        <x:f>AVERAGE('逐轮数据'!G24,'逐轮数据'!G27,'逐轮数据'!G30)</x:f>
        <x:v>12.291133381814385</x:v>
      </x:c>
      <x:c r="J12" s="28" t="n">
        <x:f>STDEV('逐轮数据'!G24,'逐轮数据'!G27,'逐轮数据'!G30)</x:f>
        <x:v>0.33291901472614555</x:v>
      </x:c>
      <x:c r="K12" s="32" t="n">
        <x:f>1-I12/E12</x:f>
        <x:v>-0.013270183765487609</x:v>
      </x:c>
      <x:c r="L12" s="32" t="n">
        <x:f>1-I12/G12</x:f>
        <x:v>-0.008847493008249385</x:v>
      </x:c>
    </x:row>
    <x:row r="13" ht="40" customHeight="1">
      <x:c r="A13" s="12" t="str">
        <x:v>收缩</x:v>
      </x:c>
      <x:c r="B13" s="12" t="str">
        <x:v>Foreground TPOT mean</x:v>
      </x:c>
      <x:c r="C13" s="12" t="str">
        <x:v>ms</x:v>
      </x:c>
      <x:c r="D13" s="12" t="n">
        <x:v>3</x:v>
      </x:c>
      <x:c r="E13" s="16" t="n">
        <x:f>AVERAGE('逐轮数据'!H6,'逐轮数据'!H9,'逐轮数据'!H12)</x:f>
        <x:v>340.0776008837151</x:v>
      </x:c>
      <x:c r="F13" s="16" t="n">
        <x:f>STDEV('逐轮数据'!H6,'逐轮数据'!H9,'逐轮数据'!H12)</x:f>
        <x:v>8.741008519546599</x:v>
      </x:c>
      <x:c r="G13" s="16" t="n">
        <x:f>AVERAGE('逐轮数据'!H15,'逐轮数据'!H18,'逐轮数据'!H21)</x:f>
        <x:v>348.49279091574925</x:v>
      </x:c>
      <x:c r="H13" s="16" t="n">
        <x:f>STDEV('逐轮数据'!H15,'逐轮数据'!H18,'逐轮数据'!H21)</x:f>
        <x:v>2.2479723831135066</x:v>
      </x:c>
      <x:c r="I13" s="16" t="n">
        <x:f>AVERAGE('逐轮数据'!H24,'逐轮数据'!H27,'逐轮数据'!H30)</x:f>
        <x:v>341.33580271402997</x:v>
      </x:c>
      <x:c r="J13" s="16" t="n">
        <x:f>STDEV('逐轮数据'!H24,'逐轮数据'!H27,'逐轮数据'!H30)</x:f>
        <x:v>4.621301694434983</x:v>
      </x:c>
      <x:c r="K13" s="30" t="n">
        <x:f>1-I13/E13</x:f>
        <x:v>-0.003699749195611002</x:v>
      </x:c>
      <x:c r="L13" s="30" t="n">
        <x:f>1-I13/G13</x:f>
        <x:v>0.020536976340063018</x:v>
      </x:c>
    </x:row>
    <x:row r="14" ht="40" customHeight="1">
      <x:c r="A14" s="13" t="str">
        <x:v>收缩</x:v>
      </x:c>
      <x:c r="B14" s="13" t="str">
        <x:v>Foreground TPOT p95 摘要</x:v>
      </x:c>
      <x:c r="C14" s="13" t="str">
        <x:v>ms</x:v>
      </x:c>
      <x:c r="D14" s="13" t="n">
        <x:v>3</x:v>
      </x:c>
      <x:c r="E14" s="17" t="n">
        <x:f>AVERAGE('逐轮数据'!I6,'逐轮数据'!I9,'逐轮数据'!I12)</x:f>
        <x:v>371.9851837158203</x:v>
      </x:c>
      <x:c r="F14" s="17" t="n">
        <x:f>STDEV('逐轮数据'!I6,'逐轮数据'!I9,'逐轮数据'!I12)</x:f>
        <x:v>18.38029937886212</x:v>
      </x:c>
      <x:c r="G14" s="17" t="n">
        <x:f>AVERAGE('逐轮数据'!I15,'逐轮数据'!I18,'逐轮数据'!I21)</x:f>
        <x:v>377.0831298828125</x:v>
      </x:c>
      <x:c r="H14" s="17" t="n">
        <x:f>STDEV('逐轮数据'!I15,'逐轮数据'!I18,'逐轮数据'!I21)</x:f>
        <x:v>3.350580732973338</x:v>
      </x:c>
      <x:c r="I14" s="17" t="n">
        <x:f>AVERAGE('逐轮数据'!I24,'逐轮数据'!I27,'逐轮数据'!I30)</x:f>
        <x:v>376.1277313232422</x:v>
      </x:c>
      <x:c r="J14" s="17" t="n">
        <x:f>STDEV('逐轮数据'!I24,'逐轮数据'!I27,'逐轮数据'!I30)</x:f>
        <x:v>7.734294730143813</x:v>
      </x:c>
      <x:c r="K14" s="31" t="n">
        <x:f>1-I14/E14</x:f>
        <x:v>-0.011136324210661463</x:v>
      </x:c>
      <x:c r="L14" s="31" t="n">
        <x:f>1-I14/G14</x:f>
        <x:v>0.0025336550056408447</x:v>
      </x:c>
    </x:row>
    <x:row r="15" ht="40" customHeight="1">
      <x:c r="A15" s="12" t="str">
        <x:v>循环切换均值</x:v>
      </x:c>
      <x:c r="B15" s="12" t="str">
        <x:v>Migration base wall</x:v>
      </x:c>
      <x:c r="C15" s="12" t="str">
        <x:v>s</x:v>
      </x:c>
      <x:c r="D15" s="12" t="n">
        <x:v>3</x:v>
      </x:c>
      <x:c r="E15" s="16" t="n">
        <x:f>AVERAGE('逐轮数据'!E7,'逐轮数据'!E10,'逐轮数据'!E13)</x:f>
        <x:v>8.86734232523789</x:v>
      </x:c>
      <x:c r="F15" s="16" t="n">
        <x:f>STDEV('逐轮数据'!E7,'逐轮数据'!E10,'逐轮数据'!E13)</x:f>
        <x:v>0.2526349533373189</x:v>
      </x:c>
      <x:c r="G15" s="16" t="n">
        <x:f>AVERAGE('逐轮数据'!E16,'逐轮数据'!E19,'逐轮数据'!E22)</x:f>
        <x:v>7.6472911379144834</x:v>
      </x:c>
      <x:c r="H15" s="16" t="n">
        <x:f>STDEV('逐轮数据'!E16,'逐轮数据'!E19,'逐轮数据'!E22)</x:f>
        <x:v>0.0698229727221826</x:v>
      </x:c>
      <x:c r="I15" s="16" t="n">
        <x:f>AVERAGE('逐轮数据'!E25,'逐轮数据'!E28,'逐轮数据'!E31)</x:f>
        <x:v>7.531253466615453</x:v>
      </x:c>
      <x:c r="J15" s="16" t="n">
        <x:f>STDEV('逐轮数据'!E25,'逐轮数据'!E28,'逐轮数据'!E31)</x:f>
        <x:v>0.15510221239491725</x:v>
      </x:c>
      <x:c r="K15" s="30" t="n">
        <x:f>1-I15/E15</x:f>
        <x:v>0.15067523161023255</x:v>
      </x:c>
      <x:c r="L15" s="30" t="n">
        <x:f>1-I15/G15</x:f>
        <x:v>0.015173696045613805</x:v>
      </x:c>
    </x:row>
    <x:row r="16" ht="40" customHeight="1">
      <x:c r="A16" s="13" t="str">
        <x:v>循环切换均值</x:v>
      </x:c>
      <x:c r="B16" s="13" t="str">
        <x:v>Transport</x:v>
      </x:c>
      <x:c r="C16" s="13" t="str">
        <x:v>s</x:v>
      </x:c>
      <x:c r="D16" s="13" t="n">
        <x:v>3</x:v>
      </x:c>
      <x:c r="E16" s="17" t="n">
        <x:f>AVERAGE('逐轮数据'!F7,'逐轮数据'!F10,'逐轮数据'!F13)</x:f>
        <x:v>2.925710597395897</x:v>
      </x:c>
      <x:c r="F16" s="17" t="n">
        <x:f>STDEV('逐轮数据'!F7,'逐轮数据'!F10,'逐轮数据'!F13)</x:f>
        <x:v>0.09524332596732056</x:v>
      </x:c>
      <x:c r="G16" s="17" t="n">
        <x:f>AVERAGE('逐轮数据'!F16,'逐轮数据'!F19,'逐轮数据'!F22)</x:f>
        <x:v>2.584564827680588</x:v>
      </x:c>
      <x:c r="H16" s="17" t="n">
        <x:f>STDEV('逐轮数据'!F16,'逐轮数据'!F19,'逐轮数据'!F22)</x:f>
        <x:v>0.04062231684230231</x:v>
      </x:c>
      <x:c r="I16" s="17" t="n">
        <x:f>AVERAGE('逐轮数据'!F25,'逐轮数据'!F28,'逐轮数据'!F31)</x:f>
        <x:v>2.6960901387532554</x:v>
      </x:c>
      <x:c r="J16" s="17" t="n">
        <x:f>STDEV('逐轮数据'!F25,'逐轮数据'!F28,'逐轮数据'!F31)</x:f>
        <x:v>0.09399099987390945</x:v>
      </x:c>
      <x:c r="K16" s="31" t="n">
        <x:f>1-I16/E16</x:f>
        <x:v>0.07848365414098746</x:v>
      </x:c>
      <x:c r="L16" s="31" t="n">
        <x:f>1-I16/G16</x:f>
        <x:v>-0.043150517982074144</x:v>
      </x:c>
    </x:row>
    <x:row r="17" ht="40" customHeight="1">
      <x:c r="A17" s="27" t="str">
        <x:v>循环切换均值</x:v>
      </x:c>
      <x:c r="B17" s="27" t="str">
        <x:v>Benchmark switch wall</x:v>
      </x:c>
      <x:c r="C17" s="27" t="str">
        <x:v>s</x:v>
      </x:c>
      <x:c r="D17" s="27" t="n">
        <x:v>3</x:v>
      </x:c>
      <x:c r="E17" s="28" t="n">
        <x:f>AVERAGE('逐轮数据'!G7,'逐轮数据'!G10,'逐轮数据'!G13)</x:f>
        <x:v>9.643192481909258</x:v>
      </x:c>
      <x:c r="F17" s="28" t="n">
        <x:f>STDEV('逐轮数据'!G7,'逐轮数据'!G10,'逐轮数据'!G13)</x:f>
        <x:v>0.25644075458167853</x:v>
      </x:c>
      <x:c r="G17" s="28" t="n">
        <x:f>AVERAGE('逐轮数据'!G16,'逐轮数据'!G19,'逐轮数据'!G22)</x:f>
        <x:v>8.414055670184704</x:v>
      </x:c>
      <x:c r="H17" s="28" t="n">
        <x:f>STDEV('逐轮数据'!G16,'逐轮数据'!G19,'逐轮数据'!G22)</x:f>
        <x:v>0.07633808597684894</x:v>
      </x:c>
      <x:c r="I17" s="28" t="n">
        <x:f>AVERAGE('逐轮数据'!G25,'逐轮数据'!G28,'逐轮数据'!G31)</x:f>
        <x:v>8.33855075148555</x:v>
      </x:c>
      <x:c r="J17" s="28" t="n">
        <x:f>STDEV('逐轮数据'!G25,'逐轮数据'!G28,'逐轮数据'!G31)</x:f>
        <x:v>0.19827502963110394</x:v>
      </x:c>
      <x:c r="K17" s="32" t="n">
        <x:f>1-I17/E17</x:f>
        <x:v>0.1352914745683269</x:v>
      </x:c>
      <x:c r="L17" s="32" t="n">
        <x:f>1-I17/G17</x:f>
        <x:v>0.008973665216728377</x:v>
      </x:c>
    </x:row>
    <x:row r="18" ht="40" customHeight="1">
      <x:c r="A18" s="13" t="str">
        <x:v>循环切换均值</x:v>
      </x:c>
      <x:c r="B18" s="13" t="str">
        <x:v>Foreground TPOT mean</x:v>
      </x:c>
      <x:c r="C18" s="13" t="str">
        <x:v>ms</x:v>
      </x:c>
      <x:c r="D18" s="13" t="n">
        <x:v>3</x:v>
      </x:c>
      <x:c r="E18" s="17" t="n">
        <x:f>AVERAGE('逐轮数据'!H7,'逐轮数据'!H10,'逐轮数据'!H13)</x:f>
        <x:v>336.8824205302229</x:v>
      </x:c>
      <x:c r="F18" s="17" t="n">
        <x:f>STDEV('逐轮数据'!H7,'逐轮数据'!H10,'逐轮数据'!H13)</x:f>
        <x:v>8.20534788816706</x:v>
      </x:c>
      <x:c r="G18" s="17" t="n">
        <x:f>AVERAGE('逐轮数据'!H16,'逐轮数据'!H19,'逐轮数据'!H22)</x:f>
        <x:v>340.6679347645152</x:v>
      </x:c>
      <x:c r="H18" s="17" t="n">
        <x:f>STDEV('逐轮数据'!H16,'逐轮数据'!H19,'逐轮数据'!H22)</x:f>
        <x:v>0.8410277053370758</x:v>
      </x:c>
      <x:c r="I18" s="17" t="n">
        <x:f>AVERAGE('逐轮数据'!H25,'逐轮数据'!H28,'逐轮数据'!H31)</x:f>
        <x:v>333.9973487854004</x:v>
      </x:c>
      <x:c r="J18" s="17" t="n">
        <x:f>STDEV('逐轮数据'!H25,'逐轮数据'!H28,'逐轮数据'!H31)</x:f>
        <x:v>3.136690574813651</x:v>
      </x:c>
      <x:c r="K18" s="31" t="n">
        <x:f>1-I18/E18</x:f>
        <x:v>0.008564031748173884</x:v>
      </x:c>
      <x:c r="L18" s="31" t="n">
        <x:f>1-I18/G18</x:f>
        <x:v>0.019580903567357533</x:v>
      </x:c>
    </x:row>
    <x:row r="19" ht="40" customHeight="1">
      <x:c r="A19" s="15" t="str">
        <x:v>循环切换均值</x:v>
      </x:c>
      <x:c r="B19" s="15" t="str">
        <x:v>Foreground TPOT p95 摘要</x:v>
      </x:c>
      <x:c r="C19" s="15" t="str">
        <x:v>ms</x:v>
      </x:c>
      <x:c r="D19" s="15" t="n">
        <x:v>3</x:v>
      </x:c>
      <x:c r="E19" s="29" t="n">
        <x:f>AVERAGE('逐轮数据'!I7,'逐轮数据'!I10,'逐轮数据'!I13)</x:f>
        <x:v>384.41136423746747</x:v>
      </x:c>
      <x:c r="F19" s="29" t="n">
        <x:f>STDEV('逐轮数据'!I7,'逐轮数据'!I10,'逐轮数据'!I13)</x:f>
        <x:v>21.597474863658864</x:v>
      </x:c>
      <x:c r="G19" s="29" t="n">
        <x:f>AVERAGE('逐轮数据'!I16,'逐轮数据'!I19,'逐轮数据'!I22)</x:f>
        <x:v>364.00944264729816</x:v>
      </x:c>
      <x:c r="H19" s="29" t="n">
        <x:f>STDEV('逐轮数据'!I16,'逐轮数据'!I19,'逐轮数据'!I22)</x:f>
        <x:v>7.371692351670663</x:v>
      </x:c>
      <x:c r="I19" s="29" t="n">
        <x:f>AVERAGE('逐轮数据'!I25,'逐轮数据'!I28,'逐轮数据'!I31)</x:f>
        <x:v>358.56014251708984</x:v>
      </x:c>
      <x:c r="J19" s="29" t="n">
        <x:f>STDEV('逐轮数据'!I25,'逐轮数据'!I28,'逐轮数据'!I31)</x:f>
        <x:v>7.3698879230633265</x:v>
      </x:c>
      <x:c r="K19" s="33" t="n">
        <x:f>1-I19/E19</x:f>
        <x:v>0.0672488488254166</x:v>
      </x:c>
      <x:c r="L19" s="33" t="n">
        <x:f>1-I19/G19</x:f>
        <x:v>0.014970216405864933</x:v>
      </x:c>
    </x:row>
  </x:sheetData>
  <x:mergeCells>
    <x:mergeCell ref="A1:L1"/>
    <x:mergeCell ref="A2:L2"/>
  </x:mergeCells>
  <x:conditionalFormatting sqref="K5:L19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992961e8d448df"/>
  </x:tableParts>
</x:worksheet>
</file>

<file path=xl/worksheets/sheet4.xml><?xml version="1.0" encoding="utf-8"?>
<x:worksheet xmlns:x="http://schemas.openxmlformats.org/spreadsheetml/2006/main">
  <x:sheetPr>
    <x:tabColor rgb="FF255D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.6299991607666" hidden="0" customWidth="1"/>
    <x:col min="2" max="2" width="28.75" hidden="0" customWidth="1"/>
    <x:col min="3" max="3" width="7.5" hidden="0" customWidth="1"/>
    <x:col min="4" max="4" width="6.25" hidden="0" customWidth="1"/>
    <x:col min="5" max="5" width="17.5" hidden="0" customWidth="1"/>
    <x:col min="6" max="6" width="17.5" hidden="0" customWidth="1"/>
    <x:col min="7" max="7" width="49.380001068115234" hidden="0" customWidth="1"/>
  </x:cols>
  <x:sheetData>
    <x:row r="1" ht="38" customHeight="1">
      <x:c r="A1" s="5" t="str">
        <x:v>WeaveTP｜历史机制对照</x:v>
      </x:c>
      <x:c r="B1" s="5"/>
      <x:c r="C1" s="5"/>
      <x:c r="D1" s="5"/>
      <x:c r="E1" s="5"/>
      <x:c r="F1" s="5"/>
      <x:c r="G1" s="5"/>
    </x:row>
    <x:row r="2" ht="43" customHeight="1">
      <x:c r="A2" s="7" t="str">
        <x:v>2026-08-28—08-31｜5 次独立 launches / 方法；均值 ± sample s.d.；不同状态范围，不是官方系统测速排名。</x:v>
      </x:c>
      <x:c r="B2" s="7"/>
      <x:c r="C2" s="7"/>
      <x:c r="D2" s="7"/>
      <x:c r="E2" s="7"/>
      <x:c r="F2" s="7"/>
      <x:c r="G2" s="7"/>
    </x:row>
    <x:row r="3">
      <x:c r="A3" s="3"/>
      <x:c r="B3" s="3"/>
      <x:c r="C3" s="3"/>
      <x:c r="D3" s="3"/>
      <x:c r="E3" s="3"/>
      <x:c r="F3" s="3"/>
      <x:c r="G3" s="3"/>
    </x:row>
    <x:row r="4" ht="32" customHeight="1">
      <x:c r="A4" s="11" t="str">
        <x:v>方法</x:v>
      </x:c>
      <x:c r="B4" s="11" t="str">
        <x:v>指标</x:v>
      </x:c>
      <x:c r="C4" s="11" t="str">
        <x:v>单位</x:v>
      </x:c>
      <x:c r="D4" s="11" t="str">
        <x:v>n</x:v>
      </x:c>
      <x:c r="E4" s="11" t="str">
        <x:v>均值</x:v>
      </x:c>
      <x:c r="F4" s="11" t="str">
        <x:v>样本标准差</x:v>
      </x:c>
      <x:c r="G4" s="11" t="str">
        <x:v>如何解释</x:v>
      </x:c>
    </x:row>
    <x:row r="5" ht="53" customHeight="1">
      <x:c r="A5" s="12" t="str">
        <x:v>WeaveTP（历史）</x:v>
      </x:c>
      <x:c r="B5" s="12" t="str">
        <x:v>Migration base wall</x:v>
      </x:c>
      <x:c r="C5" s="12" t="str">
        <x:v>s</x:v>
      </x:c>
      <x:c r="D5" s="19" t="n">
        <x:v>5</x:v>
      </x:c>
      <x:c r="E5" s="22" t="n">
        <x:f>AVERAGE('逐轮数据'!E32,'逐轮数据'!E33,'逐轮数据'!E34,'逐轮数据'!E49,'逐轮数据'!E50)</x:f>
        <x:v>8.786646465398372</x:v>
      </x:c>
      <x:c r="F5" s="22" t="n">
        <x:f>STDEV('逐轮数据'!E32,'逐轮数据'!E33,'逐轮数据'!E34,'逐轮数据'!E49,'逐轮数据'!E50)</x:f>
        <x:v>0.1349076747864548</x:v>
      </x:c>
      <x:c r="G5" s="12" t="str">
        <x:v>历史配置；不能混入正式三轮</x:v>
      </x:c>
    </x:row>
    <x:row r="6" ht="53" customHeight="1">
      <x:c r="A6" s="13" t="str">
        <x:v>WeaveTP（历史）</x:v>
      </x:c>
      <x:c r="B6" s="13" t="str">
        <x:v>Transport</x:v>
      </x:c>
      <x:c r="C6" s="13" t="str">
        <x:v>s</x:v>
      </x:c>
      <x:c r="D6" s="20" t="n">
        <x:v>5</x:v>
      </x:c>
      <x:c r="E6" s="23" t="n">
        <x:f>AVERAGE('逐轮数据'!F32,'逐轮数据'!F33,'逐轮数据'!F34,'逐轮数据'!F49,'逐轮数据'!F50)</x:f>
        <x:v>3.0917766284942623</x:v>
      </x:c>
      <x:c r="F6" s="23" t="n">
        <x:f>STDEV('逐轮数据'!F32,'逐轮数据'!F33,'逐轮数据'!F34,'逐轮数据'!F49,'逐轮数据'!F50)</x:f>
        <x:v>0.08414852667574012</x:v>
      </x:c>
      <x:c r="G6" s="13" t="str">
        <x:v>历史配置；不能混入正式三轮</x:v>
      </x:c>
    </x:row>
    <x:row r="7" ht="53" customHeight="1">
      <x:c r="A7" s="12" t="str">
        <x:v>WeaveTP（历史）</x:v>
      </x:c>
      <x:c r="B7" s="12" t="str">
        <x:v>Benchmark switch wall</x:v>
      </x:c>
      <x:c r="C7" s="12" t="str">
        <x:v>s</x:v>
      </x:c>
      <x:c r="D7" s="19" t="n">
        <x:v>5</x:v>
      </x:c>
      <x:c r="E7" s="22" t="n">
        <x:f>AVERAGE('逐轮数据'!G32,'逐轮数据'!G33,'逐轮数据'!G34,'逐轮数据'!G49,'逐轮数据'!G50)</x:f>
        <x:v>9.584889355790802</x:v>
      </x:c>
      <x:c r="F7" s="22" t="n">
        <x:f>STDEV('逐轮数据'!G32,'逐轮数据'!G33,'逐轮数据'!G34,'逐轮数据'!G49,'逐轮数据'!G50)</x:f>
        <x:v>0.15607103853791338</x:v>
      </x:c>
      <x:c r="G7" s="12" t="str">
        <x:v>历史配置；不能混入正式三轮</x:v>
      </x:c>
    </x:row>
    <x:row r="8" ht="53" customHeight="1">
      <x:c r="A8" s="13" t="str">
        <x:v>WeaveTP（历史）</x:v>
      </x:c>
      <x:c r="B8" s="13" t="str">
        <x:v>Foreground TPOT mean</x:v>
      </x:c>
      <x:c r="C8" s="13" t="str">
        <x:v>ms</x:v>
      </x:c>
      <x:c r="D8" s="20" t="n">
        <x:v>5</x:v>
      </x:c>
      <x:c r="E8" s="23" t="n">
        <x:f>AVERAGE('逐轮数据'!H32,'逐轮数据'!H33,'逐轮数据'!H34,'逐轮数据'!H49,'逐轮数据'!H50)</x:f>
        <x:v>335.6152650720933</x:v>
      </x:c>
      <x:c r="F8" s="23" t="n">
        <x:f>STDEV('逐轮数据'!H32,'逐轮数据'!H33,'逐轮数据'!H34,'逐轮数据'!H49,'逐轮数据'!H50)</x:f>
        <x:v>2.7809243979600167</x:v>
      </x:c>
      <x:c r="G8" s="13" t="str">
        <x:v>历史配置；不能混入正式三轮</x:v>
      </x:c>
    </x:row>
    <x:row r="9" ht="53" customHeight="1">
      <x:c r="A9" s="12" t="str">
        <x:v>WeaveTP（历史）</x:v>
      </x:c>
      <x:c r="B9" s="12" t="str">
        <x:v>Foreground TPOT p95 摘要</x:v>
      </x:c>
      <x:c r="C9" s="12" t="str">
        <x:v>ms</x:v>
      </x:c>
      <x:c r="D9" s="19" t="n">
        <x:v>5</x:v>
      </x:c>
      <x:c r="E9" s="22" t="n">
        <x:f>AVERAGE('逐轮数据'!I32,'逐轮数据'!I33,'逐轮数据'!I34,'逐轮数据'!I49,'逐轮数据'!I50)</x:f>
        <x:v>369.84306873994717</x:v>
      </x:c>
      <x:c r="F9" s="22" t="n">
        <x:f>STDEV('逐轮数据'!I32,'逐轮数据'!I33,'逐轮数据'!I34,'逐轮数据'!I49,'逐轮数据'!I50)</x:f>
        <x:v>14.42471382387351</x:v>
      </x:c>
      <x:c r="G9" s="12" t="str">
        <x:v>历史配置；不能混入正式三轮</x:v>
      </x:c>
    </x:row>
    <x:row r="10" ht="53" customHeight="1">
      <x:c r="A10" s="13" t="str">
        <x:v>Live-default</x:v>
      </x:c>
      <x:c r="B10" s="13" t="str">
        <x:v>Migration base wall</x:v>
      </x:c>
      <x:c r="C10" s="13" t="str">
        <x:v>s</x:v>
      </x:c>
      <x:c r="D10" s="20" t="n">
        <x:v>5</x:v>
      </x:c>
      <x:c r="E10" s="23" t="n">
        <x:f>AVERAGE('逐轮数据'!E37,'逐轮数据'!E43,'逐轮数据'!E44,'逐轮数据'!E54,'逐轮数据'!E55)</x:f>
        <x:v>8.76941323862411</x:v>
      </x:c>
      <x:c r="F10" s="23" t="n">
        <x:f>STDEV('逐轮数据'!E37,'逐轮数据'!E43,'逐轮数据'!E44,'逐轮数据'!E54,'逐轮数据'!E55)</x:f>
        <x:v>0.373843126289958</x:v>
      </x:c>
      <x:c r="G10" s="13" t="str">
        <x:v>同原型普通基线；与 Fixed-2048 分属两批</x:v>
      </x:c>
    </x:row>
    <x:row r="11" ht="53" customHeight="1">
      <x:c r="A11" s="12" t="str">
        <x:v>Live-default</x:v>
      </x:c>
      <x:c r="B11" s="12" t="str">
        <x:v>Transport</x:v>
      </x:c>
      <x:c r="C11" s="12" t="str">
        <x:v>s</x:v>
      </x:c>
      <x:c r="D11" s="19" t="n">
        <x:v>5</x:v>
      </x:c>
      <x:c r="E11" s="22" t="n">
        <x:f>AVERAGE('逐轮数据'!F37,'逐轮数据'!F43,'逐轮数据'!F44,'逐轮数据'!F54,'逐轮数据'!F55)</x:f>
        <x:v>2.911471962803602</x:v>
      </x:c>
      <x:c r="F11" s="22" t="n">
        <x:f>STDEV('逐轮数据'!F37,'逐轮数据'!F43,'逐轮数据'!F44,'逐轮数据'!F54,'逐轮数据'!F55)</x:f>
        <x:v>0.14943880092944276</x:v>
      </x:c>
      <x:c r="G11" s="12" t="str">
        <x:v>同原型普通基线；与 Fixed-2048 分属两批</x:v>
      </x:c>
    </x:row>
    <x:row r="12" ht="53" customHeight="1">
      <x:c r="A12" s="13" t="str">
        <x:v>Live-default</x:v>
      </x:c>
      <x:c r="B12" s="13" t="str">
        <x:v>Benchmark switch wall</x:v>
      </x:c>
      <x:c r="C12" s="13" t="str">
        <x:v>s</x:v>
      </x:c>
      <x:c r="D12" s="20" t="n">
        <x:v>5</x:v>
      </x:c>
      <x:c r="E12" s="23" t="n">
        <x:f>AVERAGE('逐轮数据'!G37,'逐轮数据'!G43,'逐轮数据'!G44,'逐轮数据'!G54,'逐轮数据'!G55)</x:f>
        <x:v>9.541711091692559</x:v>
      </x:c>
      <x:c r="F12" s="23" t="n">
        <x:f>STDEV('逐轮数据'!G37,'逐轮数据'!G43,'逐轮数据'!G44,'逐轮数据'!G54,'逐轮数据'!G55)</x:f>
        <x:v>0.424337135751951</x:v>
      </x:c>
      <x:c r="G12" s="13" t="str">
        <x:v>同原型普通基线；与 Fixed-2048 分属两批</x:v>
      </x:c>
    </x:row>
    <x:row r="13" ht="53" customHeight="1">
      <x:c r="A13" s="12" t="str">
        <x:v>Live-default</x:v>
      </x:c>
      <x:c r="B13" s="12" t="str">
        <x:v>Foreground TPOT mean</x:v>
      </x:c>
      <x:c r="C13" s="12" t="str">
        <x:v>ms</x:v>
      </x:c>
      <x:c r="D13" s="19" t="n">
        <x:v>5</x:v>
      </x:c>
      <x:c r="E13" s="22" t="n">
        <x:f>AVERAGE('逐轮数据'!H37,'逐轮数据'!H43,'逐轮数据'!H44,'逐轮数据'!H54,'逐轮数据'!H55)</x:f>
        <x:v>335.1283970552332</x:v>
      </x:c>
      <x:c r="F13" s="22" t="n">
        <x:f>STDEV('逐轮数据'!H37,'逐轮数据'!H43,'逐轮数据'!H44,'逐轮数据'!H54,'逐轮数据'!H55)</x:f>
        <x:v>10.22282690323238</x:v>
      </x:c>
      <x:c r="G13" s="12" t="str">
        <x:v>同原型普通基线；与 Fixed-2048 分属两批</x:v>
      </x:c>
    </x:row>
    <x:row r="14" ht="53" customHeight="1">
      <x:c r="A14" s="13" t="str">
        <x:v>Live-default</x:v>
      </x:c>
      <x:c r="B14" s="13" t="str">
        <x:v>Foreground TPOT p95 摘要</x:v>
      </x:c>
      <x:c r="C14" s="13" t="str">
        <x:v>ms</x:v>
      </x:c>
      <x:c r="D14" s="20" t="n">
        <x:v>5</x:v>
      </x:c>
      <x:c r="E14" s="23" t="n">
        <x:f>AVERAGE('逐轮数据'!I37,'逐轮数据'!I43,'逐轮数据'!I44,'逐轮数据'!I54,'逐轮数据'!I55)</x:f>
        <x:v>373.3808301140281</x:v>
      </x:c>
      <x:c r="F14" s="23" t="n">
        <x:f>STDEV('逐轮数据'!I37,'逐轮数据'!I43,'逐轮数据'!I44,'逐轮数据'!I54,'逐轮数据'!I55)</x:f>
        <x:v>24.563532171730706</x:v>
      </x:c>
      <x:c r="G14" s="13" t="str">
        <x:v>同原型普通基线；与 Fixed-2048 分属两批</x:v>
      </x:c>
    </x:row>
    <x:row r="15" ht="53" customHeight="1">
      <x:c r="A15" s="12" t="str">
        <x:v>Flying Serving-proxy</x:v>
      </x:c>
      <x:c r="B15" s="12" t="str">
        <x:v>Migration base wall</x:v>
      </x:c>
      <x:c r="C15" s="12" t="str">
        <x:v>s</x:v>
      </x:c>
      <x:c r="D15" s="19" t="n">
        <x:v>5</x:v>
      </x:c>
      <x:c r="E15" s="26" t="n">
        <x:f>AVERAGE('逐轮数据'!E36,'逐轮数据'!E41,'逐轮数据'!E42,'逐轮数据'!E52,'逐轮数据'!E53)</x:f>
        <x:v>0.000004906696267426014</x:v>
      </x:c>
      <x:c r="F15" s="26" t="n">
        <x:f>STDEV('逐轮数据'!E36,'逐轮数据'!E41,'逐轮数据'!E42,'逐轮数据'!E52,'逐轮数据'!E53)</x:f>
        <x:v>0.0000014039328677085474</x:v>
      </x:c>
      <x:c r="G15" s="12" t="str">
        <x:v>驻留/共享状态代理；不搬常规状态；TPOT 不适用</x:v>
      </x:c>
    </x:row>
    <x:row r="16" ht="53" customHeight="1">
      <x:c r="A16" s="13" t="str">
        <x:v>Flying Serving-proxy</x:v>
      </x:c>
      <x:c r="B16" s="13" t="str">
        <x:v>Transport</x:v>
      </x:c>
      <x:c r="C16" s="13" t="str">
        <x:v>s</x:v>
      </x:c>
      <x:c r="D16" s="20" t="n">
        <x:v>5</x:v>
      </x:c>
      <x:c r="E16" s="23" t="n">
        <x:f>AVERAGE('逐轮数据'!F36,'逐轮数据'!F41,'逐轮数据'!F42,'逐轮数据'!F52,'逐轮数据'!F53)</x:f>
        <x:v>0</x:v>
      </x:c>
      <x:c r="F16" s="23" t="n">
        <x:f>STDEV('逐轮数据'!F36,'逐轮数据'!F41,'逐轮数据'!F42,'逐轮数据'!F52,'逐轮数据'!F53)</x:f>
        <x:v>0</x:v>
      </x:c>
      <x:c r="G16" s="13" t="str">
        <x:v>驻留/共享状态代理；不搬常规状态；TPOT 不适用</x:v>
      </x:c>
    </x:row>
    <x:row r="17" ht="53" customHeight="1">
      <x:c r="A17" s="12" t="str">
        <x:v>Flying Serving-proxy</x:v>
      </x:c>
      <x:c r="B17" s="12" t="str">
        <x:v>Benchmark switch wall</x:v>
      </x:c>
      <x:c r="C17" s="12" t="str">
        <x:v>s</x:v>
      </x:c>
      <x:c r="D17" s="19" t="n">
        <x:v>5</x:v>
      </x:c>
      <x:c r="E17" s="22" t="n">
        <x:f>AVERAGE('逐轮数据'!G36,'逐轮数据'!G41,'逐轮数据'!G42,'逐轮数据'!G52,'逐轮数据'!G53)</x:f>
        <x:v>0.7900269966572523</x:v>
      </x:c>
      <x:c r="F17" s="22" t="n">
        <x:f>STDEV('逐轮数据'!G36,'逐轮数据'!G41,'逐轮数据'!G42,'逐轮数据'!G52,'逐轮数据'!G53)</x:f>
        <x:v>0.020571467380343142</x:v>
      </x:c>
      <x:c r="G17" s="12" t="str">
        <x:v>驻留/共享状态代理；不搬常规状态；TPOT 不适用</x:v>
      </x:c>
    </x:row>
    <x:row r="18" ht="53" customHeight="1">
      <x:c r="A18" s="13" t="str">
        <x:v>Flying Serving-proxy</x:v>
      </x:c>
      <x:c r="B18" s="13" t="str">
        <x:v>Foreground TPOT mean</x:v>
      </x:c>
      <x:c r="C18" s="13" t="str">
        <x:v>ms</x:v>
      </x:c>
      <x:c r="D18" s="20" t="n">
        <x:v>5</x:v>
      </x:c>
      <x:c r="E18" s="23" t="str">
        <x:v>不适用</x:v>
      </x:c>
      <x:c r="F18" s="23" t="str">
        <x:v>不适用</x:v>
      </x:c>
      <x:c r="G18" s="13" t="str">
        <x:v>驻留/共享状态代理；不搬常规状态；TPOT 不适用</x:v>
      </x:c>
    </x:row>
    <x:row r="19" ht="53" customHeight="1">
      <x:c r="A19" s="12" t="str">
        <x:v>Flying Serving-proxy</x:v>
      </x:c>
      <x:c r="B19" s="12" t="str">
        <x:v>Foreground TPOT p95 摘要</x:v>
      </x:c>
      <x:c r="C19" s="12" t="str">
        <x:v>ms</x:v>
      </x:c>
      <x:c r="D19" s="19" t="n">
        <x:v>5</x:v>
      </x:c>
      <x:c r="E19" s="22" t="str">
        <x:v>不适用</x:v>
      </x:c>
      <x:c r="F19" s="22" t="str">
        <x:v>不适用</x:v>
      </x:c>
      <x:c r="G19" s="12" t="str">
        <x:v>驻留/共享状态代理；不搬常规状态；TPOT 不适用</x:v>
      </x:c>
    </x:row>
    <x:row r="20" ht="53" customHeight="1">
      <x:c r="A20" s="13" t="str">
        <x:v>AnchorTP 旧代理</x:v>
      </x:c>
      <x:c r="B20" s="13" t="str">
        <x:v>Migration base wall</x:v>
      </x:c>
      <x:c r="C20" s="13" t="str">
        <x:v>s</x:v>
      </x:c>
      <x:c r="D20" s="20" t="n">
        <x:v>5</x:v>
      </x:c>
      <x:c r="E20" s="23" t="n">
        <x:f>AVERAGE('逐轮数据'!E35,'逐轮数据'!E39,'逐轮数据'!E40,'逐轮数据'!E47,'逐轮数据'!E51)</x:f>
        <x:v>19.471564382594078</x:v>
      </x:c>
      <x:c r="F20" s="23" t="n">
        <x:f>STDEV('逐轮数据'!E35,'逐轮数据'!E39,'逐轮数据'!E40,'逐轮数据'!E47,'逐轮数据'!E51)</x:f>
        <x:v>0.3452372591887691</x:v>
      </x:c>
      <x:c r="G20" s="13" t="str">
        <x:v>旧代理（含 WeaveTP residual 与改道）
仅对应历史五轮；不与新实现混合统计</x:v>
      </x:c>
    </x:row>
    <x:row r="21" ht="53" customHeight="1">
      <x:c r="A21" s="12" t="str">
        <x:v>AnchorTP 旧代理</x:v>
      </x:c>
      <x:c r="B21" s="12" t="str">
        <x:v>Transport</x:v>
      </x:c>
      <x:c r="C21" s="12" t="str">
        <x:v>s</x:v>
      </x:c>
      <x:c r="D21" s="19" t="n">
        <x:v>5</x:v>
      </x:c>
      <x:c r="E21" s="22" t="n">
        <x:f>AVERAGE('逐轮数据'!F35,'逐轮数据'!F39,'逐轮数据'!F40,'逐轮数据'!F47,'逐轮数据'!F51)</x:f>
        <x:v>2.249738678869605</x:v>
      </x:c>
      <x:c r="F21" s="22" t="n">
        <x:f>STDEV('逐轮数据'!F35,'逐轮数据'!F39,'逐轮数据'!F40,'逐轮数据'!F47,'逐轮数据'!F51)</x:f>
        <x:v>0.16154916791352308</x:v>
      </x:c>
      <x:c r="G21" s="12" t="str">
        <x:v>旧代理（含 WeaveTP residual 与改道）
仅对应历史五轮；不与新实现混合统计</x:v>
      </x:c>
    </x:row>
    <x:row r="22" ht="53" customHeight="1">
      <x:c r="A22" s="13" t="str">
        <x:v>AnchorTP 旧代理</x:v>
      </x:c>
      <x:c r="B22" s="13" t="str">
        <x:v>Benchmark switch wall</x:v>
      </x:c>
      <x:c r="C22" s="13" t="str">
        <x:v>s</x:v>
      </x:c>
      <x:c r="D22" s="20" t="n">
        <x:v>5</x:v>
      </x:c>
      <x:c r="E22" s="23" t="n">
        <x:f>AVERAGE('逐轮数据'!G35,'逐轮数据'!G39,'逐轮数据'!G40,'逐轮数据'!G47,'逐轮数据'!G51)</x:f>
        <x:v>20.254799365275538</x:v>
      </x:c>
      <x:c r="F22" s="23" t="n">
        <x:f>STDEV('逐轮数据'!G35,'逐轮数据'!G39,'逐轮数据'!G40,'逐轮数据'!G47,'逐轮数据'!G51)</x:f>
        <x:v>0.3510439126223612</x:v>
      </x:c>
      <x:c r="G22" s="13" t="str">
        <x:v>旧代理（含 WeaveTP residual 与改道）
仅对应历史五轮；不与新实现混合统计</x:v>
      </x:c>
    </x:row>
    <x:row r="23" ht="53" customHeight="1">
      <x:c r="A23" s="12" t="str">
        <x:v>AnchorTP 旧代理</x:v>
      </x:c>
      <x:c r="B23" s="12" t="str">
        <x:v>Foreground TPOT mean</x:v>
      </x:c>
      <x:c r="C23" s="12" t="str">
        <x:v>ms</x:v>
      </x:c>
      <x:c r="D23" s="19" t="n">
        <x:v>5</x:v>
      </x:c>
      <x:c r="E23" s="22" t="n">
        <x:f>AVERAGE('逐轮数据'!H35,'逐轮数据'!H39,'逐轮数据'!H40,'逐轮数据'!H47,'逐轮数据'!H51)</x:f>
        <x:v>329.3969499701094</x:v>
      </x:c>
      <x:c r="F23" s="22" t="n">
        <x:f>STDEV('逐轮数据'!H35,'逐轮数据'!H39,'逐轮数据'!H40,'逐轮数据'!H47,'逐轮数据'!H51)</x:f>
        <x:v>1.9275986297601602</x:v>
      </x:c>
      <x:c r="G23" s="12" t="str">
        <x:v>旧代理（含 WeaveTP residual 与改道）
仅对应历史五轮；不与新实现混合统计</x:v>
      </x:c>
    </x:row>
    <x:row r="24" ht="53" customHeight="1">
      <x:c r="A24" s="13" t="str">
        <x:v>AnchorTP 旧代理</x:v>
      </x:c>
      <x:c r="B24" s="13" t="str">
        <x:v>Foreground TPOT p95 摘要</x:v>
      </x:c>
      <x:c r="C24" s="13" t="str">
        <x:v>ms</x:v>
      </x:c>
      <x:c r="D24" s="20" t="n">
        <x:v>5</x:v>
      </x:c>
      <x:c r="E24" s="23" t="n">
        <x:f>AVERAGE('逐轮数据'!I35,'逐轮数据'!I39,'逐轮数据'!I40,'逐轮数据'!I47,'逐轮数据'!I51)</x:f>
        <x:v>362.6872956885605</x:v>
      </x:c>
      <x:c r="F24" s="23" t="n">
        <x:f>STDEV('逐轮数据'!I35,'逐轮数据'!I39,'逐轮数据'!I40,'逐轮数据'!I47,'逐轮数据'!I51)</x:f>
        <x:v>9.918993143172845</x:v>
      </x:c>
      <x:c r="G24" s="13" t="str">
        <x:v>旧代理（含 WeaveTP residual 与改道）
仅对应历史五轮；不与新实现混合统计</x:v>
      </x:c>
    </x:row>
    <x:row r="25" ht="53" customHeight="1">
      <x:c r="A25" s="12" t="str">
        <x:v>Llumnix-proxy</x:v>
      </x:c>
      <x:c r="B25" s="12" t="str">
        <x:v>Migration base wall</x:v>
      </x:c>
      <x:c r="C25" s="12" t="str">
        <x:v>s</x:v>
      </x:c>
      <x:c r="D25" s="19" t="n">
        <x:v>5</x:v>
      </x:c>
      <x:c r="E25" s="22" t="n">
        <x:f>AVERAGE('逐轮数据'!E38,'逐轮数据'!E45,'逐轮数据'!E46,'逐轮数据'!E48,'逐轮数据'!E56)</x:f>
        <x:v>0.49637860399670897</x:v>
      </x:c>
      <x:c r="F25" s="22" t="n">
        <x:f>STDEV('逐轮数据'!E38,'逐轮数据'!E45,'逐轮数据'!E46,'逐轮数据'!E48,'逐轮数据'!E56)</x:f>
        <x:v>0.06636636586186118</x:v>
      </x:c>
      <x:c r="G25" s="12" t="str">
        <x:v>仅迁 KV；不等同全状态工作量</x:v>
      </x:c>
    </x:row>
    <x:row r="26" ht="53" customHeight="1">
      <x:c r="A26" s="13" t="str">
        <x:v>Llumnix-proxy</x:v>
      </x:c>
      <x:c r="B26" s="13" t="str">
        <x:v>Transport</x:v>
      </x:c>
      <x:c r="C26" s="13" t="str">
        <x:v>s</x:v>
      </x:c>
      <x:c r="D26" s="20" t="n">
        <x:v>5</x:v>
      </x:c>
      <x:c r="E26" s="23" t="n">
        <x:f>AVERAGE('逐轮数据'!F38,'逐轮数据'!F45,'逐轮数据'!F46,'逐轮数据'!F48,'逐轮数据'!F56)</x:f>
        <x:v>0.0453224909543991</x:v>
      </x:c>
      <x:c r="F26" s="23" t="n">
        <x:f>STDEV('逐轮数据'!F38,'逐轮数据'!F45,'逐轮数据'!F46,'逐轮数据'!F48,'逐轮数据'!F56)</x:f>
        <x:v>0.008055252275715259</x:v>
      </x:c>
      <x:c r="G26" s="13" t="str">
        <x:v>仅迁 KV；不等同全状态工作量</x:v>
      </x:c>
    </x:row>
    <x:row r="27" ht="53" customHeight="1">
      <x:c r="A27" s="12" t="str">
        <x:v>Llumnix-proxy</x:v>
      </x:c>
      <x:c r="B27" s="12" t="str">
        <x:v>Benchmark switch wall</x:v>
      </x:c>
      <x:c r="C27" s="12" t="str">
        <x:v>s</x:v>
      </x:c>
      <x:c r="D27" s="19" t="n">
        <x:v>5</x:v>
      </x:c>
      <x:c r="E27" s="22" t="n">
        <x:f>AVERAGE('逐轮数据'!G38,'逐轮数据'!G45,'逐轮数据'!G46,'逐轮数据'!G48,'逐轮数据'!G56)</x:f>
        <x:v>1.3408621151000262</x:v>
      </x:c>
      <x:c r="F27" s="22" t="n">
        <x:f>STDEV('逐轮数据'!G38,'逐轮数据'!G45,'逐轮数据'!G46,'逐轮数据'!G48,'逐轮数据'!G56)</x:f>
        <x:v>0.184651333716412</x:v>
      </x:c>
      <x:c r="G27" s="12" t="str">
        <x:v>仅迁 KV；不等同全状态工作量</x:v>
      </x:c>
    </x:row>
    <x:row r="28" ht="53" customHeight="1">
      <x:c r="A28" s="13" t="str">
        <x:v>Llumnix-proxy</x:v>
      </x:c>
      <x:c r="B28" s="13" t="str">
        <x:v>Foreground TPOT mean</x:v>
      </x:c>
      <x:c r="C28" s="13" t="str">
        <x:v>ms</x:v>
      </x:c>
      <x:c r="D28" s="20" t="n">
        <x:v>5</x:v>
      </x:c>
      <x:c r="E28" s="23" t="n">
        <x:f>AVERAGE('逐轮数据'!H38,'逐轮数据'!H45,'逐轮数据'!H46,'逐轮数据'!H48,'逐轮数据'!H56)</x:f>
        <x:v>350.6594741821289</x:v>
      </x:c>
      <x:c r="F28" s="23" t="n">
        <x:f>STDEV('逐轮数据'!H38,'逐轮数据'!H45,'逐轮数据'!H46,'逐轮数据'!H48,'逐轮数据'!H56)</x:f>
        <x:v>38.81736360521847</x:v>
      </x:c>
      <x:c r="G28" s="13" t="str">
        <x:v>仅迁 KV；不等同全状态工作量</x:v>
      </x:c>
    </x:row>
    <x:row r="29" ht="53" customHeight="1">
      <x:c r="A29" s="15" t="str">
        <x:v>Llumnix-proxy</x:v>
      </x:c>
      <x:c r="B29" s="15" t="str">
        <x:v>Foreground TPOT p95 摘要</x:v>
      </x:c>
      <x:c r="C29" s="15" t="str">
        <x:v>ms</x:v>
      </x:c>
      <x:c r="D29" s="35" t="n">
        <x:v>5</x:v>
      </x:c>
      <x:c r="E29" s="36" t="n">
        <x:f>AVERAGE('逐轮数据'!I38,'逐轮数据'!I45,'逐轮数据'!I46,'逐轮数据'!I48,'逐轮数据'!I56)</x:f>
        <x:v>350.6594741821289</x:v>
      </x:c>
      <x:c r="F29" s="36" t="n">
        <x:f>STDEV('逐轮数据'!I38,'逐轮数据'!I45,'逐轮数据'!I46,'逐轮数据'!I48,'逐轮数据'!I56)</x:f>
        <x:v>38.81736360521847</x:v>
      </x:c>
      <x:c r="G29" s="15" t="str">
        <x:v>仅迁 KV；不等同全状态工作量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d54c96a0e864f5f"/>
  </x:tableParts>
</x:worksheet>
</file>

<file path=xl/worksheets/sheet5.xml><?xml version="1.0" encoding="utf-8"?>
<x:worksheet xmlns:x="http://schemas.openxmlformats.org/spreadsheetml/2006/main">
  <x:sheetPr>
    <x:tabColor rgb="FF255D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25" hidden="0" customWidth="1"/>
    <x:col min="2" max="2" width="41.25" hidden="0" customWidth="1"/>
    <x:col min="3" max="3" width="18.75" hidden="0" customWidth="1"/>
    <x:col min="4" max="4" width="25" hidden="0" customWidth="1"/>
    <x:col min="5" max="5" width="32.5" hidden="0" customWidth="1"/>
    <x:col min="6" max="6" width="40.630001068115234" hidden="0" customWidth="1"/>
    <x:col min="7" max="7" width="27.5" hidden="0" customWidth="1"/>
    <x:col min="8" max="8" width="28.75" hidden="0" customWidth="1"/>
    <x:col min="9" max="9" width="43.75" hidden="0" customWidth="1"/>
  </x:cols>
  <x:sheetData>
    <x:row r="1" ht="38" customHeight="1">
      <x:c r="A1" s="5" t="str">
        <x:v>WeaveTP｜论文调研</x:v>
      </x:c>
      <x:c r="B1" s="5"/>
      <x:c r="C1" s="5"/>
      <x:c r="D1" s="5"/>
      <x:c r="E1" s="5"/>
      <x:c r="F1" s="5"/>
      <x:c r="G1" s="5"/>
      <x:c r="H1" s="5"/>
      <x:c r="I1" s="5"/>
    </x:row>
    <x:row r="2" ht="43" customHeight="1">
      <x:c r="A2" s="7" t="str">
        <x:v>26 篇｜区分调研、机制代理、官方准备与算法重实现；不转抄他人性能到本项目结果。发表信息的核验状态见专列。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2" customHeight="1">
      <x:c r="A4" s="11" t="str">
        <x:v>简称</x:v>
      </x:c>
      <x:c r="B4" s="11" t="str">
        <x:v>论文题名 / 标识</x:v>
      </x:c>
      <x:c r="C4" s="11" t="str">
        <x:v>研究角度</x:v>
      </x:c>
      <x:c r="D4" s="11" t="str">
        <x:v>发表信息</x:v>
      </x:c>
      <x:c r="E4" s="11" t="str">
        <x:v>核心思路</x:v>
      </x:c>
      <x:c r="F4" s="11" t="str">
        <x:v>与本项目的关系</x:v>
      </x:c>
      <x:c r="G4" s="11" t="str">
        <x:v>本项目进度</x:v>
      </x:c>
      <x:c r="H4" s="11" t="str">
        <x:v>元数据依据</x:v>
      </x:c>
      <x:c r="I4" s="11" t="str">
        <x:v>论文 / 官方来源</x:v>
      </x:c>
    </x:row>
    <x:row r="5" ht="97" customHeight="1">
      <x:c r="A5" s="12" t="str">
        <x:v>HotSPa</x:v>
      </x:c>
      <x:c r="B5" s="12" t="str">
        <x:v>HotSPa — Enabling Parallelism Hot Switching for Efficient Training of Large Language Models</x:v>
      </x:c>
      <x:c r="C5" s="12" t="str">
        <x:v>训练并行热切换</x:v>
      </x:c>
      <x:c r="D5" s="12" t="str">
        <x:v>SOSP 2024</x:v>
      </x:c>
      <x:c r="E5" s="12" t="str">
        <x:v>训练并行策略与状态切换</x:v>
      </x:c>
      <x:c r="F5" s="12" t="str">
        <x:v>理解切换开销；不等于推理 KV 接管</x:v>
      </x:c>
      <x:c r="G5" s="12" t="str">
        <x:v>已调研；未复现</x:v>
      </x:c>
      <x:c r="H5" s="12" t="str">
        <x:v>沿用原调研表；本次未逐篇复核</x:v>
      </x:c>
      <x:c r="I5" s="12" t="str">
        <x:v>https://doi.org/10.1145/3694715.3695969</x:v>
      </x:c>
    </x:row>
    <x:row r="6" ht="97" customHeight="1">
      <x:c r="A6" s="13" t="str">
        <x:v>Seesaw</x:v>
      </x:c>
      <x:c r="B6" s="13" t="str">
        <x:v>Seesaw: High-throughput LLM Inference via Model Re-sharding</x:v>
      </x:c>
      <x:c r="C6" s="13" t="str">
        <x:v>推理重分片</x:v>
      </x:c>
      <x:c r="D6" s="13" t="str">
        <x:v>MLSys 2025</x:v>
      </x:c>
      <x:c r="E6" s="13" t="str">
        <x:v>按 prefill/decode 需求调整模型分片</x:v>
      </x:c>
      <x:c r="F6" s="13" t="str">
        <x:v>阶段适配与重分片</x:v>
      </x:c>
      <x:c r="G6" s="13" t="str">
        <x:v>已调研；未复现</x:v>
      </x:c>
      <x:c r="H6" s="13" t="str">
        <x:v>沿用原调研表；本次未逐篇复核</x:v>
      </x:c>
      <x:c r="I6" s="13" t="str">
        <x:v>https://proceedings.mlsys.org/paper_files/paper/2025/hash/cbc4ab80cd77aa0eb87da062fbcddb46-Abstract-Conference.html</x:v>
      </x:c>
    </x:row>
    <x:row r="7" ht="97" customHeight="1">
      <x:c r="A7" s="12" t="str">
        <x:v>Shift Parallelism</x:v>
      </x:c>
      <x:c r="B7" s="12" t="str">
        <x:v>Shift Parallelism: Low-Latency, High-Throughput LLM Inference for Dynamic Workloads</x:v>
      </x:c>
      <x:c r="C7" s="12" t="str">
        <x:v>推理并行切换</x:v>
      </x:c>
      <x:c r="D7" s="12" t="str">
        <x:v>ASPLOS 2026</x:v>
      </x:c>
      <x:c r="E7" s="12" t="str">
        <x:v>TP×SP 固定总并行度下切换</x:v>
      </x:c>
      <x:c r="F7" s="12" t="str">
        <x:v>布局设计如何减少迁移</x:v>
      </x:c>
      <x:c r="G7" s="12" t="str">
        <x:v>已调研；未复现</x:v>
      </x:c>
      <x:c r="H7" s="12" t="str">
        <x:v>沿用原调研表；本次未逐篇复核</x:v>
      </x:c>
      <x:c r="I7" s="12" t="str">
        <x:v>https://doi.org/10.1145/3779212.3790219</x:v>
      </x:c>
    </x:row>
    <x:row r="8" ht="97" customHeight="1">
      <x:c r="A8" s="13" t="str">
        <x:v>Flying Serving</x:v>
      </x:c>
      <x:c r="B8" s="13" t="str">
        <x:v>FLYING SERVING: On-the-Fly Parallelism Switching for Large Language Model Serving</x:v>
      </x:c>
      <x:c r="C8" s="13" t="str">
        <x:v>在线 TP/DP 切换</x:v>
      </x:c>
      <x:c r="D8" s="13" t="str">
        <x:v>ICS 2026</x:v>
      </x:c>
      <x:c r="E8" s="13" t="str">
        <x:v>驻留权重视图与 KV adaptor</x:v>
      </x:c>
      <x:c r="F8" s="13" t="str">
        <x:v>三篇机制代理之一；不是官方性能复现</x:v>
      </x:c>
      <x:c r="G8" s="13" t="str">
        <x:v>机制代理有 GPU 结果</x:v>
      </x:c>
      <x:c r="H8" s="13" t="str">
        <x:v>本次查核论文主页面</x:v>
      </x:c>
      <x:c r="I8" s="13" t="str">
        <x:v>https://arxiv.org/abs/2602.22593</x:v>
      </x:c>
    </x:row>
    <x:row r="9" ht="97" customHeight="1">
      <x:c r="A9" s="12" t="str">
        <x:v>AnchorTP</x:v>
      </x:c>
      <x:c r="B9" s="12" t="str">
        <x:v>AnchorTP: Resilient LLM Inference with State-Preserving Elastic Tensor Parallelism</x:v>
      </x:c>
      <x:c r="C9" s="12" t="str">
        <x:v>故障弹性 TP</x:v>
      </x:c>
      <x:c r="D9" s="12" t="str">
        <x:v>DATE 2026</x:v>
      </x:c>
      <x:c r="E9" s="12" t="str">
        <x:v>保留权重/KV，非等宽 TP 与最小迁移</x:v>
      </x:c>
      <x:c r="F9" s="12" t="str">
        <x:v>三篇机制代理之一；故障恢复不是计划切换</x:v>
      </x:c>
      <x:c r="G9" s="12" t="str">
        <x:v>旧代理有 GPU 结果；新实现待 GPU 验收</x:v>
      </x:c>
      <x:c r="H9" s="12" t="str">
        <x:v>本次查核论文主页面</x:v>
      </x:c>
      <x:c r="I9" s="12" t="str">
        <x:v>https://arxiv.org/abs/2511.11617</x:v>
      </x:c>
    </x:row>
    <x:row r="10" ht="97" customHeight="1">
      <x:c r="A10" s="13" t="str">
        <x:v>Nitsum</x:v>
      </x:c>
      <x:c r="B10" s="13" t="str">
        <x:v>Nitsum: Serving Tiered LLM Requests with Adaptive Tensor Parallelism</x:v>
      </x:c>
      <x:c r="C10" s="13" t="str">
        <x:v>自适应 TP</x:v>
      </x:c>
      <x:c r="D10" s="13" t="str">
        <x:v>arXiv 2026（预印本）</x:v>
      </x:c>
      <x:c r="E10" s="13" t="str">
        <x:v>分层请求需求与 TP 配置适配</x:v>
      </x:c>
      <x:c r="F10" s="13" t="str">
        <x:v>任务需求与布局选择</x:v>
      </x:c>
      <x:c r="G10" s="13" t="str">
        <x:v>已调研；未复现</x:v>
      </x:c>
      <x:c r="H10" s="13" t="str">
        <x:v>沿用原调研表；本次未逐篇复核</x:v>
      </x:c>
      <x:c r="I10" s="13" t="str">
        <x:v>https://arxiv.org/abs/2605.05467</x:v>
      </x:c>
    </x:row>
    <x:row r="11" ht="97" customHeight="1">
      <x:c r="A11" s="12" t="str">
        <x:v>ReMP</x:v>
      </x:c>
      <x:c r="B11" s="12" t="str">
        <x:v>ReMP: Low-Downtime Runtime Model-Parallelism Reconfiguration for LLM Serving</x:v>
      </x:c>
      <x:c r="C11" s="12" t="str">
        <x:v>运行时并行重配置</x:v>
      </x:c>
      <x:c r="D11" s="12" t="str">
        <x:v>arXiv 2026（预印本）</x:v>
      </x:c>
      <x:c r="E11" s="12" t="str">
        <x:v>在线 TP/PP 重配置</x:v>
      </x:c>
      <x:c r="F11" s="12" t="str">
        <x:v>通用重配置机制参照</x:v>
      </x:c>
      <x:c r="G11" s="12" t="str">
        <x:v>已调研；未复现</x:v>
      </x:c>
      <x:c r="H11" s="12" t="str">
        <x:v>沿用原调研表；本次未逐篇复核</x:v>
      </x:c>
      <x:c r="I11" s="12" t="str">
        <x:v>https://arxiv.org/abs/2606.18741</x:v>
      </x:c>
    </x:row>
    <x:row r="12" ht="97" customHeight="1">
      <x:c r="A12" s="13" t="str">
        <x:v>Llumnix</x:v>
      </x:c>
      <x:c r="B12" s="13" t="str">
        <x:v>Llumnix: Dynamic Scheduling for Large Language Model Serving</x:v>
      </x:c>
      <x:c r="C12" s="13" t="str">
        <x:v>请求动态调度</x:v>
      </x:c>
      <x:c r="D12" s="13" t="str">
        <x:v>OSDI 2024</x:v>
      </x:c>
      <x:c r="E12" s="13" t="str">
        <x:v>运行时调度与请求/KV 迁移</x:v>
      </x:c>
      <x:c r="F12" s="13" t="str">
        <x:v>三篇机制代理之一；目标权重驻留</x:v>
      </x:c>
      <x:c r="G12" s="13" t="str">
        <x:v>机制代理有 GPU 结果</x:v>
      </x:c>
      <x:c r="H12" s="13" t="str">
        <x:v>本次查核论文主页面</x:v>
      </x:c>
      <x:c r="I12" s="13" t="str">
        <x:v>https://www.usenix.org/conference/osdi24/presentation/sun-biao</x:v>
      </x:c>
    </x:row>
    <x:row r="13" ht="97" customHeight="1">
      <x:c r="A13" s="12" t="str">
        <x:v>ServerlessLLM</x:v>
      </x:c>
      <x:c r="B13" s="12" t="str">
        <x:v>ServerlessLLM: Low-Latency Serverless Inference for Large Language Models</x:v>
      </x:c>
      <x:c r="C13" s="12" t="str">
        <x:v>弹性服务</x:v>
      </x:c>
      <x:c r="D13" s="12" t="str">
        <x:v>OSDI 2024</x:v>
      </x:c>
      <x:c r="E13" s="12" t="str">
        <x:v>模型加载与推理实例迁移</x:v>
      </x:c>
      <x:c r="F13" s="12" t="str">
        <x:v>模型加载/冷启动与请求迁移的边界</x:v>
      </x:c>
      <x:c r="G13" s="12" t="str">
        <x:v>已调研；未复现</x:v>
      </x:c>
      <x:c r="H13" s="12" t="str">
        <x:v>沿用原调研表；本次未逐篇复核</x:v>
      </x:c>
      <x:c r="I13" s="12" t="str">
        <x:v>https://arxiv.org/abs/2401.14351</x:v>
      </x:c>
    </x:row>
    <x:row r="14" ht="97" customHeight="1">
      <x:c r="A14" s="13" t="str">
        <x:v>BlitzScale</x:v>
      </x:c>
      <x:c r="B14" s="13" t="str">
        <x:v>BlitzScale: Fast and Live Large Model Autoscaling with O(1) Host Caching</x:v>
      </x:c>
      <x:c r="C14" s="13" t="str">
        <x:v>弹性服务 / 写作参考</x:v>
      </x:c>
      <x:c r="D14" s="13" t="str">
        <x:v>OSDI 2025</x:v>
      </x:c>
      <x:c r="E14" s="13" t="str">
        <x:v>Host caching 与在线扩容</x:v>
      </x:c>
      <x:c r="F14" s="13" t="str">
        <x:v>曾用于论证结构学习；不移植机制或结果</x:v>
      </x:c>
      <x:c r="G14" s="13" t="str">
        <x:v>已调研；未复现</x:v>
      </x:c>
      <x:c r="H14" s="13" t="str">
        <x:v>沿用原调研表；本次未逐篇复核</x:v>
      </x:c>
      <x:c r="I14" s="13" t="str">
        <x:v>https://www.usenix.org/conference/osdi25/presentation/zhang-dingyan</x:v>
      </x:c>
    </x:row>
    <x:row r="15" ht="97" customHeight="1">
      <x:c r="A15" s="12" t="str">
        <x:v>FuseLink</x:v>
      </x:c>
      <x:c r="B15" s="12" t="str">
        <x:v>Enabling Efficient GPU Communication over Multiple NICs with FuseLink</x:v>
      </x:c>
      <x:c r="C15" s="12" t="str">
        <x:v>通信与互连</x:v>
      </x:c>
      <x:c r="D15" s="12" t="str">
        <x:v>OSDI 2025</x:v>
      </x:c>
      <x:c r="E15" s="12" t="str">
        <x:v>多 NIC GPU 通信</x:v>
      </x:c>
      <x:c r="F15" s="12" t="str">
        <x:v>传输瓶颈背景；非 TP 重配置算法</x:v>
      </x:c>
      <x:c r="G15" s="12" t="str">
        <x:v>已调研；未复现</x:v>
      </x:c>
      <x:c r="H15" s="12" t="str">
        <x:v>沿用原调研表；本次未逐篇复核</x:v>
      </x:c>
      <x:c r="I15" s="12" t="str">
        <x:v>https://www.usenix.org/conference/osdi25/presentation/ren</x:v>
      </x:c>
    </x:row>
    <x:row r="16" ht="97" customHeight="1">
      <x:c r="A16" s="13" t="str">
        <x:v>Helix</x:v>
      </x:c>
      <x:c r="B16" s="13" t="str">
        <x:v>Helix: Serving Large Language Models over Heterogeneous GPUs and Network via Max-Flow</x:v>
      </x:c>
      <x:c r="C16" s="13" t="str">
        <x:v>异构服务</x:v>
      </x:c>
      <x:c r="D16" s="13" t="str">
        <x:v>ASPLOS 2025</x:v>
      </x:c>
      <x:c r="E16" s="13" t="str">
        <x:v>异构 GPU/网络中的放置与流量组织</x:v>
      </x:c>
      <x:c r="F16" s="13" t="str">
        <x:v>放置、链路能力与执行组织</x:v>
      </x:c>
      <x:c r="G16" s="13" t="str">
        <x:v>已调研；未复现</x:v>
      </x:c>
      <x:c r="H16" s="13" t="str">
        <x:v>沿用原调研表；本次未逐篇复核</x:v>
      </x:c>
      <x:c r="I16" s="13" t="str">
        <x:v>https://doi.org/10.1145/3669940.3707215</x:v>
      </x:c>
    </x:row>
    <x:row r="17" ht="97" customHeight="1">
      <x:c r="A17" s="12" t="str">
        <x:v>ThunderServe</x:v>
      </x:c>
      <x:c r="B17" s="12" t="str">
        <x:v>ThunderServe: High-performance and Cost-efficient LLM Serving in Cloud Environments</x:v>
      </x:c>
      <x:c r="C17" s="12" t="str">
        <x:v>云服务部署</x:v>
      </x:c>
      <x:c r="D17" s="12" t="str">
        <x:v>MLSys 2025</x:v>
      </x:c>
      <x:c r="E17" s="12" t="str">
        <x:v>异构云推理资源部署</x:v>
      </x:c>
      <x:c r="F17" s="12" t="str">
        <x:v>资源部署背景</x:v>
      </x:c>
      <x:c r="G17" s="12" t="str">
        <x:v>已调研；未复现</x:v>
      </x:c>
      <x:c r="H17" s="12" t="str">
        <x:v>沿用原调研表；本次未逐篇复核</x:v>
      </x:c>
      <x:c r="I17" s="12" t="str">
        <x:v>https://arxiv.org/abs/2502.09334</x:v>
      </x:c>
    </x:row>
    <x:row r="18" ht="97" customHeight="1">
      <x:c r="A18" s="13" t="str">
        <x:v>EcoServe</x:v>
      </x:c>
      <x:c r="B18" s="13" t="str">
        <x:v>EcoServe: Efficient LLM Serving on Commodity GPU Clusters with Data-Reduced Cross-Instance Orchestration</x:v>
      </x:c>
      <x:c r="C18" s="13" t="str">
        <x:v>跨实例服务</x:v>
      </x:c>
      <x:c r="D18" s="13" t="str">
        <x:v>OSDI 2026</x:v>
      </x:c>
      <x:c r="E18" s="13" t="str">
        <x:v>部分解耦与跨实例协同</x:v>
      </x:c>
      <x:c r="F18" s="13" t="str">
        <x:v>动态负载角度；未复现</x:v>
      </x:c>
      <x:c r="G18" s="13" t="str">
        <x:v>已调研；未复现</x:v>
      </x:c>
      <x:c r="H18" s="13" t="str">
        <x:v>沿用原调研表；本次未逐篇复核</x:v>
      </x:c>
      <x:c r="I18" s="13" t="str">
        <x:v>https://www.usenix.org/conference/osdi26/presentation/du</x:v>
      </x:c>
    </x:row>
    <x:row r="19" ht="97" customHeight="1">
      <x:c r="A19" s="12" t="str">
        <x:v>Connex</x:v>
      </x:c>
      <x:c r="B19" s="12" t="str">
        <x:v>Connex: Endpoint Mobility Primitives for Dynamic LLM Serving</x:v>
      </x:c>
      <x:c r="C19" s="12" t="str">
        <x:v>通信基础设施</x:v>
      </x:c>
      <x:c r="D19" s="12" t="str">
        <x:v>SIGCOMM 2026</x:v>
      </x:c>
      <x:c r="E19" s="12" t="str">
        <x:v>Endpoint mobility</x:v>
      </x:c>
      <x:c r="F19" s="12" t="str">
        <x:v>动态端点底层支撑；非 TP 算法</x:v>
      </x:c>
      <x:c r="G19" s="12" t="str">
        <x:v>已调研；未复现</x:v>
      </x:c>
      <x:c r="H19" s="12" t="str">
        <x:v>沿用原调研表；本次未逐篇复核</x:v>
      </x:c>
      <x:c r="I19" s="12" t="str">
        <x:v>https://conferences.sigcomm.org/sigcomm/2026/accepted/</x:v>
      </x:c>
    </x:row>
    <x:row r="20" ht="97" customHeight="1">
      <x:c r="A20" s="13" t="str">
        <x:v>KVServe</x:v>
      </x:c>
      <x:c r="B20" s="13" t="str">
        <x:v>KVServe: Service-Aware KV Cache Compression for Communication-Efficient Disaggregated LLM Serving</x:v>
      </x:c>
      <x:c r="C20" s="13" t="str">
        <x:v>KV 通信</x:v>
      </x:c>
      <x:c r="D20" s="13" t="str">
        <x:v>SIGCOMM 2026</x:v>
      </x:c>
      <x:c r="E20" s="13" t="str">
        <x:v>服务感知 KV 压缩</x:v>
      </x:c>
      <x:c r="F20" s="13" t="str">
        <x:v>KV 传输优化相关；不等于参数切片</x:v>
      </x:c>
      <x:c r="G20" s="13" t="str">
        <x:v>已调研；未复现</x:v>
      </x:c>
      <x:c r="H20" s="13" t="str">
        <x:v>沿用原调研表；本次未逐篇复核</x:v>
      </x:c>
      <x:c r="I20" s="13" t="str">
        <x:v>https://arxiv.org/abs/2605.13734</x:v>
      </x:c>
    </x:row>
    <x:row r="21" ht="97" customHeight="1">
      <x:c r="A21" s="12" t="str">
        <x:v>HarMoEny</x:v>
      </x:c>
      <x:c r="B21" s="12" t="str">
        <x:v>HarMoEny: Efficient Multi-GPU Inference of MoE Models</x:v>
      </x:c>
      <x:c r="C21" s="12" t="str">
        <x:v>MoE 多 GPU 推理</x:v>
      </x:c>
      <x:c r="D21" s="12" t="str">
        <x:v>IPDPS 2026（官方 README）</x:v>
      </x:c>
      <x:c r="E21" s="12" t="str">
        <x:v>MoE 多 GPU 执行与调度</x:v>
      </x:c>
      <x:c r="F21" s="12" t="str">
        <x:v>官方环境与小型验证入口已准备</x:v>
      </x:c>
      <x:c r="G21" s="12" t="str">
        <x:v>官方源码准备；原生性能待确认</x:v>
      </x:c>
      <x:c r="H21" s="12" t="str">
        <x:v>核对官方仓库 / 本地固定版本</x:v>
      </x:c>
      <x:c r="I21" s="12" t="str">
        <x:v>https://github.com/sacs-epfl/HarMoEny</x:v>
      </x:c>
    </x:row>
    <x:row r="22" ht="97" customHeight="1">
      <x:c r="A22" s="13" t="str">
        <x:v>ExpertFlow</x:v>
      </x:c>
      <x:c r="B22" s="13" t="str">
        <x:v>ExpertFlow: Efficient Mixture-of-Experts Inference via Predictive Expert Caching and Token Scheduling</x:v>
      </x:c>
      <x:c r="C22" s="13" t="str">
        <x:v>MoE 缓存与调度</x:v>
      </x:c>
      <x:c r="D22" s="13" t="str">
        <x:v>DAC 2026（官方 README）</x:v>
      </x:c>
      <x:c r="E22" s="13" t="str">
        <x:v>RPP 预测、专家缓存、token 调度</x:v>
      </x:c>
      <x:c r="F22" s="13" t="str">
        <x:v>原生 Switch-32 路线；DeepSeek 适配需另列</x:v>
      </x:c>
      <x:c r="G22" s="13" t="str">
        <x:v>官方源码准备；原生性能待确认</x:v>
      </x:c>
      <x:c r="H22" s="13" t="str">
        <x:v>核对官方仓库 / 本地固定版本</x:v>
      </x:c>
      <x:c r="I22" s="13" t="str">
        <x:v>https://github.com/expertflow-dac/expertflow</x:v>
      </x:c>
    </x:row>
    <x:row r="23" ht="97" customHeight="1">
      <x:c r="A23" s="12" t="str">
        <x:v>FIRM-MoE</x:v>
      </x:c>
      <x:c r="B23" s="12" t="str">
        <x:v>FIRM-MoE: Fine-Grained Expert Decomposition for Resource-Adaptive MoE Inference</x:v>
      </x:c>
      <x:c r="C23" s="12" t="str">
        <x:v>专家细粒度管理</x:v>
      </x:c>
      <x:c r="D23" s="12" t="str">
        <x:v>AAAI 2026</x:v>
      </x:c>
      <x:c r="E23" s="12" t="str">
        <x:v>MoL、组件预取、LRU、HEOP</x:v>
      </x:c>
      <x:c r="F23" s="12" t="str">
        <x:v>独立 CPU trace 重实现；不是 GPU 推理</x:v>
      </x:c>
      <x:c r="G23" s="12" t="str">
        <x:v>CPU 算法小型验证</x:v>
      </x:c>
      <x:c r="H23" s="12" t="str">
        <x:v>论文页面及本地重实现材料</x:v>
      </x:c>
      <x:c r="I23" s="12" t="str">
        <x:v>https://ojs.aaai.org/index.php/AAAI/article/view/39106</x:v>
      </x:c>
    </x:row>
    <x:row r="24" ht="97" customHeight="1">
      <x:c r="A24" s="13" t="str">
        <x:v>ReaL</x:v>
      </x:c>
      <x:c r="B24" s="13" t="str">
        <x:v>ReaL: Efficient RLHF Training of Large Language Models with Parameter Reallocation</x:v>
      </x:c>
      <x:c r="C24" s="13" t="str">
        <x:v>RLHF 资源重分配</x:v>
      </x:c>
      <x:c r="D24" s="13" t="str">
        <x:v>2024；发表信息未逐篇复核</x:v>
      </x:c>
      <x:c r="E24" s="13" t="str">
        <x:v>工作流阶段间参数/资源重分配</x:v>
      </x:c>
      <x:c r="F24" s="13" t="str">
        <x:v>不是单请求生成过程内的 TP 接管</x:v>
      </x:c>
      <x:c r="G24" s="13" t="str">
        <x:v>已调研；未复现</x:v>
      </x:c>
      <x:c r="H24" s="13" t="str">
        <x:v>沿用已有调研与 bibliography</x:v>
      </x:c>
      <x:c r="I24" s="13" t="str">
        <x:v>https://arxiv.org/abs/2406.14088</x:v>
      </x:c>
    </x:row>
    <x:row r="25" ht="97" customHeight="1">
      <x:c r="A25" s="12" t="str">
        <x:v>PAT</x:v>
      </x:c>
      <x:c r="B25" s="12" t="str">
        <x:v>Accelerating Long-Tail Generation in Synchronous RLHF Training via Adaptive Tensor Parallelism</x:v>
      </x:c>
      <x:c r="C25" s="12" t="str">
        <x:v>长尾 / TP 自适应</x:v>
      </x:c>
      <x:c r="D25" s="12" t="str">
        <x:v>2026；发表信息未逐篇复核</x:v>
      </x:c>
      <x:c r="E25" s="12" t="str">
        <x:v>生成阶段自适应 TP</x:v>
      </x:c>
      <x:c r="F25" s="12" t="str">
        <x:v>相关目标；已有 CPU 策略模拟不等于论文复现</x:v>
      </x:c>
      <x:c r="G25" s="12" t="str">
        <x:v>已调研；CPU 策略模拟</x:v>
      </x:c>
      <x:c r="H25" s="12" t="str">
        <x:v>沿用已有调研与 bibliography</x:v>
      </x:c>
      <x:c r="I25" s="12" t="str">
        <x:v>https://arxiv.org/abs/2605.23945</x:v>
      </x:c>
    </x:row>
    <x:row r="26" ht="97" customHeight="1">
      <x:c r="A26" s="13" t="str">
        <x:v>Moebius</x:v>
      </x:c>
      <x:c r="B26" s="13" t="str">
        <x:v>Moebius: Serving Mixture-of-Expert Models with Seamless Runtime Parallelism Switch</x:v>
      </x:c>
      <x:c r="C26" s="13" t="str">
        <x:v>MoE 并行切换</x:v>
      </x:c>
      <x:c r="D26" s="13" t="str">
        <x:v>2026；发表信息未逐篇复核</x:v>
      </x:c>
      <x:c r="E26" s="13" t="str">
        <x:v>MoE 运行时并行布局切换</x:v>
      </x:c>
      <x:c r="F26" s="13" t="str">
        <x:v>已有 CPU 策略模拟；未验证原系统性能</x:v>
      </x:c>
      <x:c r="G26" s="13" t="str">
        <x:v>已调研；CPU 策略模拟</x:v>
      </x:c>
      <x:c r="H26" s="13" t="str">
        <x:v>沿用已有调研与 bibliography</x:v>
      </x:c>
      <x:c r="I26" s="13" t="str">
        <x:v>https://arxiv.org/abs/2606.26607</x:v>
      </x:c>
    </x:row>
    <x:row r="27" ht="97" customHeight="1">
      <x:c r="A27" s="12" t="str">
        <x:v>ProMoE</x:v>
      </x:c>
      <x:c r="B27" s="12" t="str">
        <x:v>ProMoE</x:v>
      </x:c>
      <x:c r="C27" s="12" t="str">
        <x:v>MoE 专家卸载</x:v>
      </x:c>
      <x:c r="D27" s="12" t="str">
        <x:v>2024 预印本记录；未重新核验</x:v>
      </x:c>
      <x:c r="E27" s="12" t="str">
        <x:v>专家激活预测与预取</x:v>
      </x:c>
      <x:c r="F27" s="12" t="str">
        <x:v>CPU-GPU 卸载，不是 GPU 间 TP 重配置</x:v>
      </x:c>
      <x:c r="G27" s="12" t="str">
        <x:v>已调研；未复现</x:v>
      </x:c>
      <x:c r="H27" s="12" t="str">
        <x:v>沿用已有相关工作记录</x:v>
      </x:c>
      <x:c r="I27" s="12" t="str">
        <x:v>https://arxiv.org/abs/2410.22134</x:v>
      </x:c>
    </x:row>
    <x:row r="28" ht="97" customHeight="1">
      <x:c r="A28" s="13" t="str">
        <x:v>MoE-Infinity</x:v>
      </x:c>
      <x:c r="B28" s="13" t="str">
        <x:v>MoE-Infinity: Offloading-Efficient MoE Model Serving</x:v>
      </x:c>
      <x:c r="C28" s="13" t="str">
        <x:v>MoE 专家卸载</x:v>
      </x:c>
      <x:c r="D28" s="13" t="str">
        <x:v>预印本；未重新核验</x:v>
      </x:c>
      <x:c r="E28" s="13" t="str">
        <x:v>请求激活轨迹、缓存与预取</x:v>
      </x:c>
      <x:c r="F28" s="13" t="str">
        <x:v>专家状态移动的相关工作</x:v>
      </x:c>
      <x:c r="G28" s="13" t="str">
        <x:v>已调研；未复现</x:v>
      </x:c>
      <x:c r="H28" s="13" t="str">
        <x:v>沿用已有调研与 bibliography</x:v>
      </x:c>
      <x:c r="I28" s="13" t="str">
        <x:v>https://arxiv.org/abs/2401.14361</x:v>
      </x:c>
    </x:row>
    <x:row r="29" ht="97" customHeight="1">
      <x:c r="A29" s="12" t="str">
        <x:v>Fiddler</x:v>
      </x:c>
      <x:c r="B29" s="12" t="str">
        <x:v>Fiddler</x:v>
      </x:c>
      <x:c r="C29" s="12" t="str">
        <x:v>MoE 卸载 / CPU-GPU 协同</x:v>
      </x:c>
      <x:c r="D29" s="12" t="str">
        <x:v>ICLR 2025（已有调研记录）</x:v>
      </x:c>
      <x:c r="E29" s="12" t="str">
        <x:v>动态选择权重移动与 CPU 计算</x:v>
      </x:c>
      <x:c r="F29" s="12" t="str">
        <x:v>借鉴通信/计算取舍；不等于 TP 切换</x:v>
      </x:c>
      <x:c r="G29" s="12" t="str">
        <x:v>已调研；未复现</x:v>
      </x:c>
      <x:c r="H29" s="12" t="str">
        <x:v>沿用已有相关工作记录</x:v>
      </x:c>
      <x:c r="I29" s="12" t="str">
        <x:v>https://arxiv.org/abs/2402.07033</x:v>
      </x:c>
    </x:row>
    <x:row r="30" ht="97" customHeight="1">
      <x:c r="A30" s="14" t="str">
        <x:v>MoE-Lightning</x:v>
      </x:c>
      <x:c r="B30" s="14" t="str">
        <x:v>MoE-Lightning</x:v>
      </x:c>
      <x:c r="C30" s="14" t="str">
        <x:v>MoE 卸载流水线</x:v>
      </x:c>
      <x:c r="D30" s="14" t="str">
        <x:v>ASPLOS 2025（已有调研记录）</x:v>
      </x:c>
      <x:c r="E30" s="14" t="str">
        <x:v>分层流水线重叠权重/KV 传输与计算</x:v>
      </x:c>
      <x:c r="F30" s="14" t="str">
        <x:v>重叠执行背景；不是 TP 拓扑切换</x:v>
      </x:c>
      <x:c r="G30" s="14" t="str">
        <x:v>已调研；未复现</x:v>
      </x:c>
      <x:c r="H30" s="14" t="str">
        <x:v>沿用已有相关工作记录</x:v>
      </x:c>
      <x:c r="I30" s="14" t="str">
        <x:v>https://arxiv.org/abs/2411.11217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4867ad11d424e94"/>
  </x:tableParts>
</x:worksheet>
</file>

<file path=xl/worksheets/sheet6.xml><?xml version="1.0" encoding="utf-8"?>
<x:worksheet xmlns:x="http://schemas.openxmlformats.org/spreadsheetml/2006/main">
  <x:sheetPr>
    <x:tabColor rgb="FF255D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18.75" hidden="0" customWidth="1"/>
    <x:col min="3" max="3" width="37.5" hidden="0" customWidth="1"/>
    <x:col min="4" max="4" width="29.3799991607666" hidden="0" customWidth="1"/>
    <x:col min="5" max="5" width="32.5" hidden="0" customWidth="1"/>
    <x:col min="6" max="6" width="31.25" hidden="0" customWidth="1"/>
    <x:col min="7" max="7" width="39.380001068115234" hidden="0" customWidth="1"/>
  </x:cols>
  <x:sheetData>
    <x:row r="1" ht="38" customHeight="1">
      <x:c r="A1" s="5" t="str">
        <x:v>WeaveTP｜复现状态</x:v>
      </x:c>
      <x:c r="B1" s="5"/>
      <x:c r="C1" s="5"/>
      <x:c r="D1" s="5"/>
      <x:c r="E1" s="5"/>
      <x:c r="F1" s="5"/>
      <x:c r="G1" s="5"/>
    </x:row>
    <x:row r="2" ht="43" customHeight="1">
      <x:c r="A2" s="7" t="str">
        <x:v>“有入口/代码”不等于“已运行”；“代理有结果”不等于“官方论文复现”。所有状态截止本次可核对材料。</x:v>
      </x:c>
      <x:c r="B2" s="7"/>
      <x:c r="C2" s="7"/>
      <x:c r="D2" s="7"/>
      <x:c r="E2" s="7"/>
      <x:c r="F2" s="7"/>
      <x:c r="G2" s="7"/>
    </x:row>
    <x:row r="3">
      <x:c r="A3" s="3"/>
      <x:c r="B3" s="3"/>
      <x:c r="C3" s="3"/>
      <x:c r="D3" s="3"/>
      <x:c r="E3" s="3"/>
      <x:c r="F3" s="3"/>
      <x:c r="G3" s="3"/>
    </x:row>
    <x:row r="4" ht="32" customHeight="1">
      <x:c r="A4" s="11" t="str">
        <x:v>对象</x:v>
      </x:c>
      <x:c r="B4" s="11" t="str">
        <x:v>复现身份</x:v>
      </x:c>
      <x:c r="C4" s="11" t="str">
        <x:v>已覆盖内容</x:v>
      </x:c>
      <x:c r="D4" s="11" t="str">
        <x:v>可核对的证据层级</x:v>
      </x:c>
      <x:c r="E4" s="11" t="str">
        <x:v>设备 / 工作负载</x:v>
      </x:c>
      <x:c r="F4" s="11" t="str">
        <x:v>当前结论</x:v>
      </x:c>
      <x:c r="G4" s="11" t="str">
        <x:v>复现注意事项</x:v>
      </x:c>
    </x:row>
    <x:row r="5" ht="85" customHeight="1">
      <x:c r="A5" s="12" t="str">
        <x:v>WeaveTP</x:v>
      </x:c>
      <x:c r="B5" s="12" t="str">
        <x:v>本项目实现</x:v>
      </x:c>
      <x:c r="C5" s="12" t="str">
        <x:v>方向缓存计划、等价源筛选、参数/KV 接管</x:v>
      </x:c>
      <x:c r="D5" s="12" t="str">
        <x:v>正式三轮，真实 GPU benchmark</x:v>
      </x:c>
      <x:c r="E5" s="12" t="str">
        <x:v>8 × RTX 5090 / DeepSeek-V2-Lite</x:v>
      </x:c>
      <x:c r="F5" s="12" t="str">
        <x:v>有正式结果；强状态证据需继续补齐</x:v>
      </x:c>
      <x:c r="G5" s="12" t="str">
        <x:v>固定任务集合的整体推理收益未验证</x:v>
      </x:c>
    </x:row>
    <x:row r="6" ht="85" customHeight="1">
      <x:c r="A6" s="13" t="str">
        <x:v>Fixed-2048</x:v>
      </x:c>
      <x:c r="B6" s="13" t="str">
        <x:v>内部普通基线</x:v>
      </x:c>
      <x:c r="C6" s="13" t="str">
        <x:v>两方向 2048 tasks/wave、默认源</x:v>
      </x:c>
      <x:c r="D6" s="13" t="str">
        <x:v>正式三轮，真实 GPU benchmark</x:v>
      </x:c>
      <x:c r="E6" s="13" t="str">
        <x:v>同正式平台</x:v>
      </x:c>
      <x:c r="F6" s="13" t="str">
        <x:v>有正式结果</x:v>
      </x:c>
      <x:c r="G6" s="13" t="str">
        <x:v>比较时保持同量工作和状态范围</x:v>
      </x:c>
    </x:row>
    <x:row r="7" ht="85" customHeight="1">
      <x:c r="A7" s="12" t="str">
        <x:v>Directional</x:v>
      </x:c>
      <x:c r="B7" s="12" t="str">
        <x:v>内部方向消融</x:v>
      </x:c>
      <x:c r="C7" s="12" t="str">
        <x:v>扩容 4096 / 收缩 2048、默认源</x:v>
      </x:c>
      <x:c r="D7" s="12" t="str">
        <x:v>正式三轮，真实 GPU benchmark</x:v>
      </x:c>
      <x:c r="E7" s="12" t="str">
        <x:v>同正式平台</x:v>
      </x:c>
      <x:c r="F7" s="12" t="str">
        <x:v>有正式结果</x:v>
      </x:c>
      <x:c r="G7" s="12" t="str">
        <x:v>不能把全部收益归于候选源选择</x:v>
      </x:c>
    </x:row>
    <x:row r="8" ht="85" customHeight="1">
      <x:c r="A8" s="13" t="str">
        <x:v>Live-default</x:v>
      </x:c>
      <x:c r="B8" s="13" t="str">
        <x:v>历史普通基线</x:v>
      </x:c>
      <x:c r="C8" s="13" t="str">
        <x:v>普通 live 状态迁移</x:v>
      </x:c>
      <x:c r="D8" s="13" t="str">
        <x:v>历史五轮，真实 GPU benchmark</x:v>
      </x:c>
      <x:c r="E8" s="13" t="str">
        <x:v>8 × RTX 5090 / DeepSeek-V2-Lite</x:v>
      </x:c>
      <x:c r="F8" s="13" t="str">
        <x:v>有历史结果</x:v>
      </x:c>
      <x:c r="G8" s="13" t="str">
        <x:v>不能替换正式 Fixed-2048 的数值</x:v>
      </x:c>
    </x:row>
    <x:row r="9" ht="85" customHeight="1">
      <x:c r="A9" s="12" t="str">
        <x:v>Flying Serving</x:v>
      </x:c>
      <x:c r="B9" s="12" t="str">
        <x:v>机制代理</x:v>
      </x:c>
      <x:c r="C9" s="12" t="str">
        <x:v>驻留/共享状态参考；跳过常规复制</x:v>
      </x:c>
      <x:c r="D9" s="12" t="str">
        <x:v>历史五轮，真实 GPU benchmark</x:v>
      </x:c>
      <x:c r="E9" s="12" t="str">
        <x:v>同历史平台</x:v>
      </x:c>
      <x:c r="F9" s="12" t="str">
        <x:v>有代理结果；非官方复现</x:v>
      </x:c>
      <x:c r="G9" s="12" t="str">
        <x:v>须补原生系统工作负载与公平状态范围</x:v>
      </x:c>
    </x:row>
    <x:row r="10" ht="85" customHeight="1">
      <x:c r="A10" s="13" t="str">
        <x:v>AnchorTP</x:v>
      </x:c>
      <x:c r="B10" s="13" t="str">
        <x:v>旧代理 + 新实现</x:v>
      </x:c>
      <x:c r="C10" s="13" t="str">
        <x:v>旧代理（含 WeaveTP residual 与改道）</x:v>
      </x:c>
      <x:c r="D10" s="13" t="str">
        <x:v>历史五轮仅为旧代理 GPU 结果</x:v>
      </x:c>
      <x:c r="E10" s="13" t="str">
        <x:v>同历史平台</x:v>
      </x:c>
      <x:c r="F10" s="13" t="str">
        <x:v>新实现代码/CPU 验收；GPU 待验收</x:v>
      </x:c>
      <x:c r="G10" s="13" t="str">
        <x:v>新实现：固定源三类路径、整体预分配、停服；故障检测/CMM 缺口生成/非等宽 TP 未实现</x:v>
      </x:c>
    </x:row>
    <x:row r="11" ht="85" customHeight="1">
      <x:c r="A11" s="12" t="str">
        <x:v>Llumnix</x:v>
      </x:c>
      <x:c r="B11" s="12" t="str">
        <x:v>机制代理</x:v>
      </x:c>
      <x:c r="C11" s="12" t="str">
        <x:v>KV-only；目标权重驻留</x:v>
      </x:c>
      <x:c r="D11" s="12" t="str">
        <x:v>历史五轮，真实 GPU benchmark</x:v>
      </x:c>
      <x:c r="E11" s="12" t="str">
        <x:v>同历史平台</x:v>
      </x:c>
      <x:c r="F11" s="12" t="str">
        <x:v>有代理结果；非官方复现</x:v>
      </x:c>
      <x:c r="G11" s="12" t="str">
        <x:v>没有完整请求调度/SLO 系统复现</x:v>
      </x:c>
    </x:row>
    <x:row r="12" ht="85" customHeight="1">
      <x:c r="A12" s="13" t="str">
        <x:v>HarMoEny</x:v>
      </x:c>
      <x:c r="B12" s="13" t="str">
        <x:v>官方 artifact 准备</x:v>
      </x:c>
      <x:c r="C12" s="13" t="str">
        <x:v>固定源码和环境/小型用例入口</x:v>
      </x:c>
      <x:c r="D12" s="13" t="str">
        <x:v>已有源码与复现说明</x:v>
      </x:c>
      <x:c r="E12" s="13" t="str">
        <x:v>官方目标 8 × V100；本项目候选 RTX 5090</x:v>
      </x:c>
      <x:c r="F12" s="13" t="str">
        <x:v>原生性能尚未确认</x:v>
      </x:c>
      <x:c r="G12" s="13" t="str">
        <x:v>硬件兼容与原生用例需取得运行证据</x:v>
      </x:c>
    </x:row>
    <x:row r="13" ht="85" customHeight="1">
      <x:c r="A13" s="12" t="str">
        <x:v>ExpertFlow</x:v>
      </x:c>
      <x:c r="B13" s="12" t="str">
        <x:v>官方源码准备</x:v>
      </x:c>
      <x:c r="C13" s="12" t="str">
        <x:v>Switch-32、WMT16、RPP 原生验证路线</x:v>
      </x:c>
      <x:c r="D13" s="12" t="str">
        <x:v>已有源码与小型用例入口</x:v>
      </x:c>
      <x:c r="E13" s="12" t="str">
        <x:v>CUDA；本项目候选 RTX 5090</x:v>
      </x:c>
      <x:c r="F13" s="12" t="str">
        <x:v>原生性能尚未确认</x:v>
      </x:c>
      <x:c r="G13" s="12" t="str">
        <x:v>DeepSeek 适配与论文原生配置分开</x:v>
      </x:c>
    </x:row>
    <x:row r="14" ht="85" customHeight="1">
      <x:c r="A14" s="13" t="str">
        <x:v>FIRM-MoE</x:v>
      </x:c>
      <x:c r="B14" s="13" t="str">
        <x:v>独立机制重实现</x:v>
      </x:c>
      <x:c r="C14" s="13" t="str">
        <x:v>MoL、预取、LRU、HEOP</x:v>
      </x:c>
      <x:c r="D14" s="13" t="str">
        <x:v>已有 CPU trace 小型输出</x:v>
      </x:c>
      <x:c r="E14" s="13" t="str">
        <x:v>CPU；不是 GPU 推理</x:v>
      </x:c>
      <x:c r="F14" s="13" t="str">
        <x:v>算法级小型验证</x:v>
      </x:c>
      <x:c r="G14" s="13" t="str">
        <x:v>latency units 不能换算成实测秒数</x:v>
      </x:c>
    </x:row>
    <x:row r="15" ht="85" customHeight="1">
      <x:c r="A15" s="15" t="str">
        <x:v>PAT / Moebius</x:v>
      </x:c>
      <x:c r="B15" s="15" t="str">
        <x:v>CPU 策略模拟</x:v>
      </x:c>
      <x:c r="C15" s="15" t="str">
        <x:v>使用带宽模型的策略级比较</x:v>
      </x:c>
      <x:c r="D15" s="15" t="str">
        <x:v>已有模拟代码；不等于原系统</x:v>
      </x:c>
      <x:c r="E15" s="15" t="str">
        <x:v>CPU 模拟</x:v>
      </x:c>
      <x:c r="F15" s="15" t="str">
        <x:v>未完成原生性能复现</x:v>
      </x:c>
      <x:c r="G15" s="15" t="str">
        <x:v>不要将模拟输出称为 NCCL 实测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80038e96d5942b6"/>
  </x:tableParts>
</x:worksheet>
</file>

<file path=xl/worksheets/sheet7.xml><?xml version="1.0" encoding="utf-8"?>
<x:worksheet xmlns:x="http://schemas.openxmlformats.org/spreadsheetml/2006/main">
  <x:sheetPr>
    <x:tabColor rgb="FF255D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.1299991607666" hidden="0" customWidth="1"/>
    <x:col min="2" max="2" width="24.3799991607666" hidden="0" customWidth="1"/>
    <x:col min="3" max="3" width="10" hidden="0" customWidth="1"/>
    <x:col min="4" max="4" width="20.6299991607666" hidden="0" customWidth="1"/>
    <x:col min="5" max="5" width="16.25" hidden="0" customWidth="1"/>
    <x:col min="6" max="6" width="16.25" hidden="0" customWidth="1"/>
    <x:col min="7" max="7" width="16.25" hidden="0" customWidth="1"/>
    <x:col min="8" max="8" width="18.1299991607666" hidden="0" customWidth="1"/>
    <x:col min="9" max="9" width="18.75" hidden="0" customWidth="1"/>
    <x:col min="10" max="10" width="35.630001068115234" hidden="0" customWidth="1"/>
  </x:cols>
  <x:sheetData>
    <x:row r="1" ht="38" customHeight="1">
      <x:c r="A1" s="5" t="str">
        <x:v>WeaveTP｜逐轮数据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3" customHeight="1">
      <x:c r="A2" s="7" t="str">
        <x:v>每行已在单个 launch 内汇总；同一正式 launch 的三行不是三次独立重复。历史 TPOT 按 overlap steps 加权。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2" customHeight="1">
      <x:c r="A4" s="11" t="str">
        <x:v>批次</x:v>
      </x:c>
      <x:c r="B4" s="11" t="str">
        <x:v>配置 / 方法</x:v>
      </x:c>
      <x:c r="C4" s="11" t="str">
        <x:v>Launch</x:v>
      </x:c>
      <x:c r="D4" s="11" t="str">
        <x:v>汇总范围</x:v>
      </x:c>
      <x:c r="E4" s="11" t="str">
        <x:v>Base wall (s)</x:v>
      </x:c>
      <x:c r="F4" s="11" t="str">
        <x:v>Transport (s)</x:v>
      </x:c>
      <x:c r="G4" s="11" t="str">
        <x:v>Switch wall (s)</x:v>
      </x:c>
      <x:c r="H4" s="11" t="str">
        <x:v>TPOT mean (ms)</x:v>
      </x:c>
      <x:c r="I4" s="11" t="str">
        <x:v>TPOT p95 摘要 (ms)</x:v>
      </x:c>
      <x:c r="J4" s="11" t="str">
        <x:v>来源编号</x:v>
      </x:c>
    </x:row>
    <x:row r="5" ht="40" customHeight="1">
      <x:c r="A5" s="12" t="str">
        <x:v>正式三轮</x:v>
      </x:c>
      <x:c r="B5" s="12" t="str">
        <x:v>Fixed-2048</x:v>
      </x:c>
      <x:c r="C5" s="19" t="n">
        <x:v>1</x:v>
      </x:c>
      <x:c r="D5" s="12" t="str">
        <x:v>扩容</x:v>
      </x:c>
      <x:c r="E5" s="22" t="n">
        <x:v>6.223436342785135</x:v>
      </x:c>
      <x:c r="F5" s="22" t="n">
        <x:v>2.142745081067085</x:v>
      </x:c>
      <x:c r="G5" s="22" t="n">
        <x:v>7.027367962524295</x:v>
      </x:c>
      <x:c r="H5" s="22" t="n">
        <x:v>325.02042643229163</x:v>
      </x:c>
      <x:c r="I5" s="22" t="n">
        <x:v>377.1265411376953</x:v>
      </x:c>
      <x:c r="J5" s="12" t="str">
        <x:v>F-fixed_2048-1</x:v>
      </x:c>
    </x:row>
    <x:row r="6" ht="40" customHeight="1">
      <x:c r="A6" s="13" t="str">
        <x:v>正式三轮</x:v>
      </x:c>
      <x:c r="B6" s="13" t="str">
        <x:v>Fixed-2048</x:v>
      </x:c>
      <x:c r="C6" s="20" t="n">
        <x:v>1</x:v>
      </x:c>
      <x:c r="D6" s="13" t="str">
        <x:v>收缩</x:v>
      </x:c>
      <x:c r="E6" s="23" t="n">
        <x:v>11.056233249837533</x:v>
      </x:c>
      <x:c r="F6" s="23" t="n">
        <x:v>3.600594882965088</x:v>
      </x:c>
      <x:c r="G6" s="23" t="n">
        <x:v>11.815755211515352</x:v>
      </x:c>
      <x:c r="H6" s="23" t="n">
        <x:v>331.6675782637163</x:v>
      </x:c>
      <x:c r="I6" s="23" t="n">
        <x:v>360.5866241455078</x:v>
      </x:c>
      <x:c r="J6" s="13" t="str">
        <x:v>F-fixed_2048-1</x:v>
      </x:c>
    </x:row>
    <x:row r="7" ht="40" customHeight="1">
      <x:c r="A7" s="12" t="str">
        <x:v>正式三轮</x:v>
      </x:c>
      <x:c r="B7" s="12" t="str">
        <x:v>Fixed-2048</x:v>
      </x:c>
      <x:c r="C7" s="19" t="n">
        <x:v>1</x:v>
      </x:c>
      <x:c r="D7" s="12" t="str">
        <x:v>循环切换均值</x:v>
      </x:c>
      <x:c r="E7" s="22" t="n">
        <x:v>8.639834796311334</x:v>
      </x:c>
      <x:c r="F7" s="22" t="n">
        <x:v>2.8716699820160865</x:v>
      </x:c>
      <x:c r="G7" s="22" t="n">
        <x:v>9.421561587019823</x:v>
      </x:c>
      <x:c r="H7" s="22" t="n">
        <x:v>328.344002348004</x:v>
      </x:c>
      <x:c r="I7" s="22" t="n">
        <x:v>368.85658264160156</x:v>
      </x:c>
      <x:c r="J7" s="12" t="str">
        <x:v>F-fixed_2048-1</x:v>
      </x:c>
    </x:row>
    <x:row r="8" ht="40" customHeight="1">
      <x:c r="A8" s="13" t="str">
        <x:v>正式三轮</x:v>
      </x:c>
      <x:c r="B8" s="13" t="str">
        <x:v>Fixed-2048</x:v>
      </x:c>
      <x:c r="C8" s="20" t="n">
        <x:v>2</x:v>
      </x:c>
      <x:c r="D8" s="13" t="str">
        <x:v>扩容</x:v>
      </x:c>
      <x:c r="E8" s="23" t="n">
        <x:v>6.417731623165309</x:v>
      </x:c>
      <x:c r="F8" s="23" t="n">
        <x:v>2.160966315507889</x:v>
      </x:c>
      <x:c r="G8" s="23" t="n">
        <x:v>7.170491007622331</x:v>
      </x:c>
      <x:c r="H8" s="23" t="n">
        <x:v>335.74057896931964</x:v>
      </x:c>
      <x:c r="I8" s="23" t="n">
        <x:v>388.4344177246094</x:v>
      </x:c>
      <x:c r="J8" s="13" t="str">
        <x:v>F-fixed_2048-2</x:v>
      </x:c>
    </x:row>
    <x:row r="9" ht="40" customHeight="1">
      <x:c r="A9" s="12" t="str">
        <x:v>正式三轮</x:v>
      </x:c>
      <x:c r="B9" s="12" t="str">
        <x:v>Fixed-2048</x:v>
      </x:c>
      <x:c r="C9" s="19" t="n">
        <x:v>2</x:v>
      </x:c>
      <x:c r="D9" s="12" t="str">
        <x:v>收缩</x:v>
      </x:c>
      <x:c r="E9" s="22" t="n">
        <x:v>11.22820330108516</x:v>
      </x:c>
      <x:c r="F9" s="22" t="n">
        <x:v>3.5785919075012207</x:v>
      </x:c>
      <x:c r="G9" s="22" t="n">
        <x:v>11.99739740183577</x:v>
      </x:c>
      <x:c r="H9" s="22" t="n">
        <x:v>339.44951074773616</x:v>
      </x:c>
      <x:c r="I9" s="22" t="n">
        <x:v>362.17994689941406</x:v>
      </x:c>
      <x:c r="J9" s="12" t="str">
        <x:v>F-fixed_2048-2</x:v>
      </x:c>
    </x:row>
    <x:row r="10" ht="40" customHeight="1">
      <x:c r="A10" s="13" t="str">
        <x:v>正式三轮</x:v>
      </x:c>
      <x:c r="B10" s="13" t="str">
        <x:v>Fixed-2048</x:v>
      </x:c>
      <x:c r="C10" s="20" t="n">
        <x:v>2</x:v>
      </x:c>
      <x:c r="D10" s="13" t="str">
        <x:v>循环切换均值</x:v>
      </x:c>
      <x:c r="E10" s="23" t="n">
        <x:v>8.822967462125234</x:v>
      </x:c>
      <x:c r="F10" s="23" t="n">
        <x:v>2.869779111504555</x:v>
      </x:c>
      <x:c r="G10" s="23" t="n">
        <x:v>9.58394420472905</x:v>
      </x:c>
      <x:c r="H10" s="23" t="n">
        <x:v>337.5950448585279</x:v>
      </x:c>
      <x:c r="I10" s="23" t="n">
        <x:v>375.3071823120117</x:v>
      </x:c>
      <x:c r="J10" s="13" t="str">
        <x:v>F-fixed_2048-2</x:v>
      </x:c>
    </x:row>
    <x:row r="11" ht="40" customHeight="1">
      <x:c r="A11" s="12" t="str">
        <x:v>正式三轮</x:v>
      </x:c>
      <x:c r="B11" s="12" t="str">
        <x:v>Fixed-2048</x:v>
      </x:c>
      <x:c r="C11" s="19" t="n">
        <x:v>3</x:v>
      </x:c>
      <x:c r="D11" s="12" t="str">
        <x:v>扩容</x:v>
      </x:c>
      <x:c r="E11" s="22" t="n">
        <x:v>6.5516395380254835</x:v>
      </x:c>
      <x:c r="F11" s="22" t="n">
        <x:v>2.225356722712517</x:v>
      </x:c>
      <x:c r="G11" s="22" t="n">
        <x:v>7.270804287167266</x:v>
      </x:c>
      <x:c r="H11" s="22" t="n">
        <x:v>340.3007151285807</x:v>
      </x:c>
      <x:c r="I11" s="22" t="n">
        <x:v>424.95167541503906</x:v>
      </x:c>
      <x:c r="J11" s="12" t="str">
        <x:v>F-fixed_2048-3</x:v>
      </x:c>
    </x:row>
    <x:row r="12" ht="40" customHeight="1">
      <x:c r="A12" s="13" t="str">
        <x:v>正式三轮</x:v>
      </x:c>
      <x:c r="B12" s="13" t="str">
        <x:v>Fixed-2048</x:v>
      </x:c>
      <x:c r="C12" s="20" t="n">
        <x:v>3</x:v>
      </x:c>
      <x:c r="D12" s="13" t="str">
        <x:v>收缩</x:v>
      </x:c>
      <x:c r="E12" s="23" t="n">
        <x:v>11.72680989652872</x:v>
      </x:c>
      <x:c r="F12" s="23" t="n">
        <x:v>3.846008674621582</x:v>
      </x:c>
      <x:c r="G12" s="23" t="n">
        <x:v>12.577339020790532</x:v>
      </x:c>
      <x:c r="H12" s="23" t="n">
        <x:v>349.1157136396928</x:v>
      </x:c>
      <x:c r="I12" s="23" t="n">
        <x:v>393.18898010253906</x:v>
      </x:c>
      <x:c r="J12" s="13" t="str">
        <x:v>F-fixed_2048-3</x:v>
      </x:c>
    </x:row>
    <x:row r="13" ht="40" customHeight="1">
      <x:c r="A13" s="12" t="str">
        <x:v>正式三轮</x:v>
      </x:c>
      <x:c r="B13" s="12" t="str">
        <x:v>Fixed-2048</x:v>
      </x:c>
      <x:c r="C13" s="19" t="n">
        <x:v>3</x:v>
      </x:c>
      <x:c r="D13" s="12" t="str">
        <x:v>循环切换均值</x:v>
      </x:c>
      <x:c r="E13" s="22" t="n">
        <x:v>9.139224717277102</x:v>
      </x:c>
      <x:c r="F13" s="22" t="n">
        <x:v>3.035682698667049</x:v>
      </x:c>
      <x:c r="G13" s="22" t="n">
        <x:v>9.9240716539789</x:v>
      </x:c>
      <x:c r="H13" s="22" t="n">
        <x:v>344.7082143841368</x:v>
      </x:c>
      <x:c r="I13" s="22" t="n">
        <x:v>409.07032775878906</x:v>
      </x:c>
      <x:c r="J13" s="12" t="str">
        <x:v>F-fixed_2048-3</x:v>
      </x:c>
    </x:row>
    <x:row r="14" ht="40" customHeight="1">
      <x:c r="A14" s="13" t="str">
        <x:v>正式三轮</x:v>
      </x:c>
      <x:c r="B14" s="13" t="str">
        <x:v>Directional</x:v>
      </x:c>
      <x:c r="C14" s="20" t="n">
        <x:v>1</x:v>
      </x:c>
      <x:c r="D14" s="13" t="str">
        <x:v>扩容</x:v>
      </x:c>
      <x:c r="E14" s="23" t="n">
        <x:v>3.863183386158198</x:v>
      </x:c>
      <x:c r="F14" s="23" t="n">
        <x:v>1.8639662313461303</x:v>
      </x:c>
      <x:c r="G14" s="23" t="n">
        <x:v>4.610047075664625</x:v>
      </x:c>
      <x:c r="H14" s="23" t="n">
        <x:v>329.96945444742835</x:v>
      </x:c>
      <x:c r="I14" s="23" t="n">
        <x:v>333.0517272949219</x:v>
      </x:c>
      <x:c r="J14" s="13" t="str">
        <x:v>F-directional_no_reroute-1</x:v>
      </x:c>
    </x:row>
    <x:row r="15" ht="40" customHeight="1">
      <x:c r="A15" s="12" t="str">
        <x:v>正式三轮</x:v>
      </x:c>
      <x:c r="B15" s="12" t="str">
        <x:v>Directional</x:v>
      </x:c>
      <x:c r="C15" s="19" t="n">
        <x:v>1</x:v>
      </x:c>
      <x:c r="D15" s="12" t="str">
        <x:v>收缩</x:v>
      </x:c>
      <x:c r="E15" s="22" t="n">
        <x:v>11.389960604254156</x:v>
      </x:c>
      <x:c r="F15" s="22" t="n">
        <x:v>3.2680188941955564</x:v>
      </x:c>
      <x:c r="G15" s="22" t="n">
        <x:v>12.171598135726526</x:v>
      </x:c>
      <x:c r="H15" s="22" t="n">
        <x:v>350.21770893443716</x:v>
      </x:c>
      <x:c r="I15" s="22" t="n">
        <x:v>378.2370300292969</x:v>
      </x:c>
      <x:c r="J15" s="12" t="str">
        <x:v>F-directional_no_reroute-1</x:v>
      </x:c>
    </x:row>
    <x:row r="16" ht="40" customHeight="1">
      <x:c r="A16" s="13" t="str">
        <x:v>正式三轮</x:v>
      </x:c>
      <x:c r="B16" s="13" t="str">
        <x:v>Directional</x:v>
      </x:c>
      <x:c r="C16" s="20" t="n">
        <x:v>1</x:v>
      </x:c>
      <x:c r="D16" s="13" t="str">
        <x:v>循环切换均值</x:v>
      </x:c>
      <x:c r="E16" s="23" t="n">
        <x:v>7.626571995206177</x:v>
      </x:c>
      <x:c r="F16" s="23" t="n">
        <x:v>2.5659925627708433</x:v>
      </x:c>
      <x:c r="G16" s="23" t="n">
        <x:v>8.390822605695575</x:v>
      </x:c>
      <x:c r="H16" s="23" t="n">
        <x:v>340.09358169093275</x:v>
      </x:c>
      <x:c r="I16" s="23" t="n">
        <x:v>355.6443786621094</x:v>
      </x:c>
      <x:c r="J16" s="13" t="str">
        <x:v>F-directional_no_reroute-1</x:v>
      </x:c>
    </x:row>
    <x:row r="17" ht="40" customHeight="1">
      <x:c r="A17" s="12" t="str">
        <x:v>正式三轮</x:v>
      </x:c>
      <x:c r="B17" s="12" t="str">
        <x:v>Directional</x:v>
      </x:c>
      <x:c r="C17" s="19" t="n">
        <x:v>2</x:v>
      </x:c>
      <x:c r="D17" s="12" t="str">
        <x:v>扩容</x:v>
      </x:c>
      <x:c r="E17" s="22" t="n">
        <x:v>3.8952899316791445</x:v>
      </x:c>
      <x:c r="F17" s="22" t="n">
        <x:v>1.8708354058265688</x:v>
      </x:c>
      <x:c r="G17" s="22" t="n">
        <x:v>4.642781721428037</x:v>
      </x:c>
      <x:c r="H17" s="22" t="n">
        <x:v>334.603391011556</x:v>
      </x:c>
      <x:c r="I17" s="22" t="n">
        <x:v>360.34739685058594</x:v>
      </x:c>
      <x:c r="J17" s="12" t="str">
        <x:v>F-directional_no_reroute-2</x:v>
      </x:c>
    </x:row>
    <x:row r="18" ht="40" customHeight="1">
      <x:c r="A18" s="13" t="str">
        <x:v>正式三轮</x:v>
      </x:c>
      <x:c r="B18" s="13" t="str">
        <x:v>Directional</x:v>
      </x:c>
      <x:c r="C18" s="20" t="n">
        <x:v>2</x:v>
      </x:c>
      <x:c r="D18" s="13" t="str">
        <x:v>收缩</x:v>
      </x:c>
      <x:c r="E18" s="23" t="n">
        <x:v>11.285055414540693</x:v>
      </x:c>
      <x:c r="F18" s="23" t="n">
        <x:v>3.242261531829834</x:v>
      </x:c>
      <x:c r="G18" s="23" t="n">
        <x:v>12.061285096453503</x:v>
      </x:c>
      <x:c r="H18" s="23" t="n">
        <x:v>345.9504886973988</x:v>
      </x:c>
      <x:c r="I18" s="23" t="n">
        <x:v>373.30809020996094</x:v>
      </x:c>
      <x:c r="J18" s="13" t="str">
        <x:v>F-directional_no_reroute-2</x:v>
      </x:c>
    </x:row>
    <x:row r="19" ht="40" customHeight="1">
      <x:c r="A19" s="12" t="str">
        <x:v>正式三轮</x:v>
      </x:c>
      <x:c r="B19" s="12" t="str">
        <x:v>Directional</x:v>
      </x:c>
      <x:c r="C19" s="19" t="n">
        <x:v>2</x:v>
      </x:c>
      <x:c r="D19" s="12" t="str">
        <x:v>循环切换均值</x:v>
      </x:c>
      <x:c r="E19" s="22" t="n">
        <x:v>7.590172673109919</x:v>
      </x:c>
      <x:c r="F19" s="22" t="n">
        <x:v>2.5565484688282014</x:v>
      </x:c>
      <x:c r="G19" s="22" t="n">
        <x:v>8.35203340894077</x:v>
      </x:c>
      <x:c r="H19" s="22" t="n">
        <x:v>340.2769398544774</x:v>
      </x:c>
      <x:c r="I19" s="22" t="n">
        <x:v>366.82774353027344</x:v>
      </x:c>
      <x:c r="J19" s="12" t="str">
        <x:v>F-directional_no_reroute-2</x:v>
      </x:c>
    </x:row>
    <x:row r="20" ht="40" customHeight="1">
      <x:c r="A20" s="13" t="str">
        <x:v>正式三轮</x:v>
      </x:c>
      <x:c r="B20" s="13" t="str">
        <x:v>Directional</x:v>
      </x:c>
      <x:c r="C20" s="20" t="n">
        <x:v>3</x:v>
      </x:c>
      <x:c r="D20" s="13" t="str">
        <x:v>扩容</x:v>
      </x:c>
      <x:c r="E20" s="23" t="n">
        <x:v>3.905103977303952</x:v>
      </x:c>
      <x:c r="F20" s="23" t="n">
        <x:v>1.8608091077804567</x:v>
      </x:c>
      <x:c r="G20" s="23" t="n">
        <x:v>4.681481160921976</x:v>
      </x:c>
      <x:c r="H20" s="23" t="n">
        <x:v>333.9563903808594</x:v>
      </x:c>
      <x:c r="I20" s="23" t="n">
        <x:v>359.40814208984375</x:v>
      </x:c>
      <x:c r="J20" s="13" t="str">
        <x:v>F-directional_no_reroute-3</x:v>
      </x:c>
    </x:row>
    <x:row r="21" ht="40" customHeight="1">
      <x:c r="A21" s="12" t="str">
        <x:v>正式三轮</x:v>
      </x:c>
      <x:c r="B21" s="12" t="str">
        <x:v>Directional</x:v>
      </x:c>
      <x:c r="C21" s="19" t="n">
        <x:v>3</x:v>
      </x:c>
      <x:c r="D21" s="12" t="str">
        <x:v>收缩</x:v>
      </x:c>
      <x:c r="E21" s="22" t="n">
        <x:v>11.545153513550758</x:v>
      </x:c>
      <x:c r="F21" s="22" t="n">
        <x:v>3.4014977951049805</x:v>
      </x:c>
      <x:c r="G21" s="22" t="n">
        <x:v>12.317140830913559</x:v>
      </x:c>
      <x:c r="H21" s="22" t="n">
        <x:v>349.3101751154119</x:v>
      </x:c>
      <x:c r="I21" s="22" t="n">
        <x:v>379.7042694091797</x:v>
      </x:c>
      <x:c r="J21" s="12" t="str">
        <x:v>F-directional_no_reroute-3</x:v>
      </x:c>
    </x:row>
    <x:row r="22" ht="40" customHeight="1">
      <x:c r="A22" s="13" t="str">
        <x:v>正式三轮</x:v>
      </x:c>
      <x:c r="B22" s="13" t="str">
        <x:v>Directional</x:v>
      </x:c>
      <x:c r="C22" s="20" t="n">
        <x:v>3</x:v>
      </x:c>
      <x:c r="D22" s="13" t="str">
        <x:v>循环切换均值</x:v>
      </x:c>
      <x:c r="E22" s="23" t="n">
        <x:v>7.725128745427355</x:v>
      </x:c>
      <x:c r="F22" s="23" t="n">
        <x:v>2.6311534514427186</x:v>
      </x:c>
      <x:c r="G22" s="23" t="n">
        <x:v>8.499310995917767</x:v>
      </x:c>
      <x:c r="H22" s="23" t="n">
        <x:v>341.6332827481356</x:v>
      </x:c>
      <x:c r="I22" s="23" t="n">
        <x:v>369.5562057495117</x:v>
      </x:c>
      <x:c r="J22" s="13" t="str">
        <x:v>F-directional_no_reroute-3</x:v>
      </x:c>
    </x:row>
    <x:row r="23" ht="40" customHeight="1">
      <x:c r="A23" s="12" t="str">
        <x:v>正式三轮</x:v>
      </x:c>
      <x:c r="B23" s="12" t="str">
        <x:v>WeaveTP</x:v>
      </x:c>
      <x:c r="C23" s="19" t="n">
        <x:v>1</x:v>
      </x:c>
      <x:c r="D23" s="12" t="str">
        <x:v>扩容</x:v>
      </x:c>
      <x:c r="E23" s="22" t="n">
        <x:v>3.6164994097780436</x:v>
      </x:c>
      <x:c r="F23" s="22" t="n">
        <x:v>1.7728934249877928</x:v>
      </x:c>
      <x:c r="G23" s="22" t="n">
        <x:v>4.379711792105809</x:v>
      </x:c>
      <x:c r="H23" s="22" t="n">
        <x:v>328.0168685913086</x:v>
      </x:c>
      <x:c r="I23" s="22" t="n">
        <x:v>335.9042663574219</x:v>
      </x:c>
      <x:c r="J23" s="12" t="str">
        <x:v>F-moetp_directional-1</x:v>
      </x:c>
    </x:row>
    <x:row r="24" ht="40" customHeight="1">
      <x:c r="A24" s="13" t="str">
        <x:v>正式三轮</x:v>
      </x:c>
      <x:c r="B24" s="13" t="str">
        <x:v>WeaveTP</x:v>
      </x:c>
      <x:c r="C24" s="20" t="n">
        <x:v>1</x:v>
      </x:c>
      <x:c r="D24" s="13" t="str">
        <x:v>收缩</x:v>
      </x:c>
      <x:c r="E24" s="23" t="n">
        <x:v>11.222735582618043</x:v>
      </x:c>
      <x:c r="F24" s="23" t="n">
        <x:v>3.518542762756348</x:v>
      </x:c>
      <x:c r="G24" s="23" t="n">
        <x:v>12.01262247399427</x:v>
      </x:c>
      <x:c r="H24" s="23" t="n">
        <x:v>336.32047410444784</x:v>
      </x:c>
      <x:c r="I24" s="23" t="n">
        <x:v>367.85955810546875</x:v>
      </x:c>
      <x:c r="J24" s="13" t="str">
        <x:v>F-moetp_directional-1</x:v>
      </x:c>
    </x:row>
    <x:row r="25" ht="40" customHeight="1">
      <x:c r="A25" s="12" t="str">
        <x:v>正式三轮</x:v>
      </x:c>
      <x:c r="B25" s="12" t="str">
        <x:v>WeaveTP</x:v>
      </x:c>
      <x:c r="C25" s="19" t="n">
        <x:v>1</x:v>
      </x:c>
      <x:c r="D25" s="12" t="str">
        <x:v>循环切换均值</x:v>
      </x:c>
      <x:c r="E25" s="22" t="n">
        <x:v>7.419617496198043</x:v>
      </x:c>
      <x:c r="F25" s="22" t="n">
        <x:v>2.64571809387207</x:v>
      </x:c>
      <x:c r="G25" s="22" t="n">
        <x:v>8.19616713305004</x:v>
      </x:c>
      <x:c r="H25" s="22" t="n">
        <x:v>332.1686713478782</x:v>
      </x:c>
      <x:c r="I25" s="22" t="n">
        <x:v>351.8819122314453</x:v>
      </x:c>
      <x:c r="J25" s="12" t="str">
        <x:v>F-moetp_directional-1</x:v>
      </x:c>
    </x:row>
    <x:row r="26" ht="40" customHeight="1">
      <x:c r="A26" s="13" t="str">
        <x:v>正式三轮</x:v>
      </x:c>
      <x:c r="B26" s="13" t="str">
        <x:v>WeaveTP</x:v>
      </x:c>
      <x:c r="C26" s="20" t="n">
        <x:v>2</x:v>
      </x:c>
      <x:c r="D26" s="13" t="str">
        <x:v>扩容</x:v>
      </x:c>
      <x:c r="E26" s="23" t="n">
        <x:v>3.626699924003333</x:v>
      </x:c>
      <x:c r="F26" s="23" t="n">
        <x:v>1.7556846542358397</x:v>
      </x:c>
      <x:c r="G26" s="23" t="n">
        <x:v>4.470157268922776</x:v>
      </x:c>
      <x:c r="H26" s="23" t="n">
        <x:v>329.81660970052087</x:v>
      </x:c>
      <x:c r="I26" s="23" t="n">
        <x:v>349.7490234375</x:v>
      </x:c>
      <x:c r="J26" s="13" t="str">
        <x:v>F-moetp_directional-2</x:v>
      </x:c>
    </x:row>
    <x:row r="27" ht="40" customHeight="1">
      <x:c r="A27" s="12" t="str">
        <x:v>正式三轮</x:v>
      </x:c>
      <x:c r="B27" s="12" t="str">
        <x:v>WeaveTP</x:v>
      </x:c>
      <x:c r="C27" s="19" t="n">
        <x:v>2</x:v>
      </x:c>
      <x:c r="D27" s="12" t="str">
        <x:v>收缩</x:v>
      </x:c>
      <x:c r="E27" s="22" t="n">
        <x:v>11.790010527940467</x:v>
      </x:c>
      <x:c r="F27" s="22" t="n">
        <x:v>3.8533765373229985</x:v>
      </x:c>
      <x:c r="G27" s="22" t="n">
        <x:v>12.659863945562392</x:v>
      </x:c>
      <x:c r="H27" s="22" t="n">
        <x:v>345.4218486439098</x:v>
      </x:c>
      <x:c r="I27" s="22" t="n">
        <x:v>383.1853942871094</x:v>
      </x:c>
      <x:c r="J27" s="12" t="str">
        <x:v>F-moetp_directional-2</x:v>
      </x:c>
    </x:row>
    <x:row r="28" ht="40" customHeight="1">
      <x:c r="A28" s="13" t="str">
        <x:v>正式三轮</x:v>
      </x:c>
      <x:c r="B28" s="13" t="str">
        <x:v>WeaveTP</x:v>
      </x:c>
      <x:c r="C28" s="20" t="n">
        <x:v>2</x:v>
      </x:c>
      <x:c r="D28" s="13" t="str">
        <x:v>循环切换均值</x:v>
      </x:c>
      <x:c r="E28" s="23" t="n">
        <x:v>7.7083552259719</x:v>
      </x:c>
      <x:c r="F28" s="23" t="n">
        <x:v>2.804530595779419</x:v>
      </x:c>
      <x:c r="G28" s="23" t="n">
        <x:v>8.565010607242584</x:v>
      </x:c>
      <x:c r="H28" s="23" t="n">
        <x:v>337.61922917221534</x:v>
      </x:c>
      <x:c r="I28" s="23" t="n">
        <x:v>366.4672088623047</x:v>
      </x:c>
      <x:c r="J28" s="13" t="str">
        <x:v>F-moetp_directional-2</x:v>
      </x:c>
    </x:row>
    <x:row r="29" ht="40" customHeight="1">
      <x:c r="A29" s="12" t="str">
        <x:v>正式三轮</x:v>
      </x:c>
      <x:c r="B29" s="12" t="str">
        <x:v>WeaveTP</x:v>
      </x:c>
      <x:c r="C29" s="19" t="n">
        <x:v>3</x:v>
      </x:c>
      <x:c r="D29" s="12" t="str">
        <x:v>扩容</x:v>
      </x:c>
      <x:c r="E29" s="22" t="n">
        <x:v>3.5229441239498556</x:v>
      </x:c>
      <x:c r="F29" s="22" t="n">
        <x:v>1.729134292602539</x:v>
      </x:c>
      <x:c r="G29" s="22" t="n">
        <x:v>4.308035302441567</x:v>
      </x:c>
      <x:c r="H29" s="22" t="n">
        <x:v>322.1432062784831</x:v>
      </x:c>
      <x:c r="I29" s="22" t="n">
        <x:v>337.3243713378906</x:v>
      </x:c>
      <x:c r="J29" s="12" t="str">
        <x:v>F-moetp_directional-3</x:v>
      </x:c>
    </x:row>
    <x:row r="30" ht="40" customHeight="1">
      <x:c r="A30" s="13" t="str">
        <x:v>正式三轮</x:v>
      </x:c>
      <x:c r="B30" s="13" t="str">
        <x:v>WeaveTP</x:v>
      </x:c>
      <x:c r="C30" s="20" t="n">
        <x:v>3</x:v>
      </x:c>
      <x:c r="D30" s="13" t="str">
        <x:v>收缩</x:v>
      </x:c>
      <x:c r="E30" s="23" t="n">
        <x:v>11.408631231402978</x:v>
      </x:c>
      <x:c r="F30" s="23" t="n">
        <x:v>3.546909160614014</x:v>
      </x:c>
      <x:c r="G30" s="23" t="n">
        <x:v>12.200913725886494</x:v>
      </x:c>
      <x:c r="H30" s="23" t="n">
        <x:v>342.26508539373225</x:v>
      </x:c>
      <x:c r="I30" s="23" t="n">
        <x:v>377.33824157714844</x:v>
      </x:c>
      <x:c r="J30" s="13" t="str">
        <x:v>F-moetp_directional-3</x:v>
      </x:c>
    </x:row>
    <x:row r="31" ht="40" customHeight="1">
      <x:c r="A31" s="12" t="str">
        <x:v>正式三轮</x:v>
      </x:c>
      <x:c r="B31" s="12" t="str">
        <x:v>WeaveTP</x:v>
      </x:c>
      <x:c r="C31" s="19" t="n">
        <x:v>3</x:v>
      </x:c>
      <x:c r="D31" s="12" t="str">
        <x:v>循环切换均值</x:v>
      </x:c>
      <x:c r="E31" s="22" t="n">
        <x:v>7.465787677676417</x:v>
      </x:c>
      <x:c r="F31" s="22" t="n">
        <x:v>2.6380217266082764</x:v>
      </x:c>
      <x:c r="G31" s="22" t="n">
        <x:v>8.25447451416403</x:v>
      </x:c>
      <x:c r="H31" s="22" t="n">
        <x:v>332.20414583610767</x:v>
      </x:c>
      <x:c r="I31" s="22" t="n">
        <x:v>357.33130645751953</x:v>
      </x:c>
      <x:c r="J31" s="12" t="str">
        <x:v>F-moetp_directional-3</x:v>
      </x:c>
    </x:row>
    <x:row r="32" ht="40" customHeight="1">
      <x:c r="A32" s="13" t="str">
        <x:v>历史五轮机制代理</x:v>
      </x:c>
      <x:c r="B32" s="13" t="str">
        <x:v>WeaveTP（历史）</x:v>
      </x:c>
      <x:c r="C32" s="20" t="n">
        <x:v>1</x:v>
      </x:c>
      <x:c r="D32" s="13" t="str">
        <x:v>四次切换均值</x:v>
      </x:c>
      <x:c r="E32" s="23" t="n">
        <x:v>8.820361335761845</x:v>
      </x:c>
      <x:c r="F32" s="23" t="n">
        <x:v>3.1389045281410217</x:v>
      </x:c>
      <x:c r="G32" s="23" t="n">
        <x:v>9.596665355260484</x:v>
      </x:c>
      <x:c r="H32" s="23" t="n">
        <x:v>335.54976609173946</x:v>
      </x:c>
      <x:c r="I32" s="23" t="n">
        <x:v>361.09240991929</x:v>
      </x:c>
      <x:c r="J32" s="13" t="str">
        <x:v>H-moetp++-hybrid-1</x:v>
      </x:c>
    </x:row>
    <x:row r="33" ht="40" customHeight="1">
      <x:c r="A33" s="12" t="str">
        <x:v>历史五轮机制代理</x:v>
      </x:c>
      <x:c r="B33" s="12" t="str">
        <x:v>WeaveTP（历史）</x:v>
      </x:c>
      <x:c r="C33" s="19" t="n">
        <x:v>2</x:v>
      </x:c>
      <x:c r="D33" s="12" t="str">
        <x:v>四次切换均值</x:v>
      </x:c>
      <x:c r="E33" s="22" t="n">
        <x:v>8.81018657097593</x:v>
      </x:c>
      <x:c r="F33" s="22" t="n">
        <x:v>3.103417779922485</x:v>
      </x:c>
      <x:c r="G33" s="22" t="n">
        <x:v>9.595149849308655</x:v>
      </x:c>
      <x:c r="H33" s="22" t="n">
        <x:v>336.6746467141544</x:v>
      </x:c>
      <x:c r="I33" s="22" t="n">
        <x:v>361.45321834788604</x:v>
      </x:c>
      <x:c r="J33" s="12" t="str">
        <x:v>H-moetp++-hybrid-2</x:v>
      </x:c>
    </x:row>
    <x:row r="34" ht="40" customHeight="1">
      <x:c r="A34" s="13" t="str">
        <x:v>历史五轮机制代理</x:v>
      </x:c>
      <x:c r="B34" s="13" t="str">
        <x:v>WeaveTP（历史）</x:v>
      </x:c>
      <x:c r="C34" s="20" t="n">
        <x:v>3</x:v>
      </x:c>
      <x:c r="D34" s="13" t="str">
        <x:v>四次切换均值</x:v>
      </x:c>
      <x:c r="E34" s="23" t="n">
        <x:v>8.560619898722507</x:v>
      </x:c>
      <x:c r="F34" s="23" t="n">
        <x:v>2.963656262397766</x:v>
      </x:c>
      <x:c r="G34" s="23" t="n">
        <x:v>9.329458444844931</x:v>
      </x:c>
      <x:c r="H34" s="23" t="n">
        <x:v>330.86267000086167</x:v>
      </x:c>
      <x:c r="I34" s="23" t="n">
        <x:v>360.4079230813419</x:v>
      </x:c>
      <x:c r="J34" s="13" t="str">
        <x:v>H-moetp++-hybrid-3</x:v>
      </x:c>
    </x:row>
    <x:row r="35" ht="40" customHeight="1">
      <x:c r="A35" s="12" t="str">
        <x:v>历史五轮机制代理</x:v>
      </x:c>
      <x:c r="B35" s="12" t="str">
        <x:v>AnchorTP 旧代理</x:v>
      </x:c>
      <x:c r="C35" s="19" t="n">
        <x:v>1</x:v>
      </x:c>
      <x:c r="D35" s="12" t="str">
        <x:v>四次切换均值</x:v>
      </x:c>
      <x:c r="E35" s="22" t="n">
        <x:v>19.167348978691734</x:v>
      </x:c>
      <x:c r="F35" s="22" t="n">
        <x:v>2.2642890781015157</x:v>
      </x:c>
      <x:c r="G35" s="22" t="n">
        <x:v>19.992199891246855</x:v>
      </x:c>
      <x:c r="H35" s="22" t="n">
        <x:v>330.96238759358727</x:v>
      </x:c>
      <x:c r="I35" s="22" t="n">
        <x:v>362.9019493103027</x:v>
      </x:c>
      <x:c r="J35" s="12" t="str">
        <x:v>H-anchortp-proxy-1</x:v>
      </x:c>
    </x:row>
    <x:row r="36" ht="40" customHeight="1">
      <x:c r="A36" s="13" t="str">
        <x:v>历史五轮机制代理</x:v>
      </x:c>
      <x:c r="B36" s="13" t="str">
        <x:v>Flying Serving-proxy</x:v>
      </x:c>
      <x:c r="C36" s="20" t="n">
        <x:v>1</x:v>
      </x:c>
      <x:c r="D36" s="13" t="str">
        <x:v>四次切换均值</x:v>
      </x:c>
      <x:c r="E36" s="25" t="n">
        <x:v>0.0000034765107557177544</x:v>
      </x:c>
      <x:c r="F36" s="23" t="n">
        <x:v>0</x:v>
      </x:c>
      <x:c r="G36" s="23" t="n">
        <x:v>0.8155430620536208</x:v>
      </x:c>
      <x:c r="H36" s="23" t="str">
        <x:v>不适用</x:v>
      </x:c>
      <x:c r="I36" s="23" t="str">
        <x:v>不适用</x:v>
      </x:c>
      <x:c r="J36" s="13" t="str">
        <x:v>H-flying-serving-proxy-1</x:v>
      </x:c>
    </x:row>
    <x:row r="37" ht="40" customHeight="1">
      <x:c r="A37" s="12" t="str">
        <x:v>历史五轮机制代理</x:v>
      </x:c>
      <x:c r="B37" s="12" t="str">
        <x:v>Live-default</x:v>
      </x:c>
      <x:c r="C37" s="19" t="n">
        <x:v>1</x:v>
      </x:c>
      <x:c r="D37" s="12" t="str">
        <x:v>四次切换均值</x:v>
      </x:c>
      <x:c r="E37" s="22" t="n">
        <x:v>8.535413926234469</x:v>
      </x:c>
      <x:c r="F37" s="22" t="n">
        <x:v>2.814617895036936</x:v>
      </x:c>
      <x:c r="G37" s="22" t="n">
        <x:v>9.266392275225371</x:v>
      </x:c>
      <x:c r="H37" s="22" t="n">
        <x:v>331.01555454029756</x:v>
      </x:c>
      <x:c r="I37" s="22" t="n">
        <x:v>364.1522943833295</x:v>
      </x:c>
      <x:c r="J37" s="12" t="str">
        <x:v>H-baseline-1</x:v>
      </x:c>
    </x:row>
    <x:row r="38" ht="40" customHeight="1">
      <x:c r="A38" s="13" t="str">
        <x:v>历史五轮机制代理</x:v>
      </x:c>
      <x:c r="B38" s="13" t="str">
        <x:v>Llumnix-proxy</x:v>
      </x:c>
      <x:c r="C38" s="20" t="n">
        <x:v>1</x:v>
      </x:c>
      <x:c r="D38" s="13" t="str">
        <x:v>四次切换均值</x:v>
      </x:c>
      <x:c r="E38" s="23" t="n">
        <x:v>0.45704899716656655</x:v>
      </x:c>
      <x:c r="F38" s="23" t="n">
        <x:v>0.044996022939682</x:v>
      </x:c>
      <x:c r="G38" s="23" t="n">
        <x:v>1.248610896174796</x:v>
      </x:c>
      <x:c r="H38" s="23" t="n">
        <x:v>327.0966262817383</x:v>
      </x:c>
      <x:c r="I38" s="23" t="n">
        <x:v>327.0966262817383</x:v>
      </x:c>
      <x:c r="J38" s="13" t="str">
        <x:v>H-llumnix-proxy-1</x:v>
      </x:c>
    </x:row>
    <x:row r="39" ht="40" customHeight="1">
      <x:c r="A39" s="12" t="str">
        <x:v>历史五轮机制代理</x:v>
      </x:c>
      <x:c r="B39" s="12" t="str">
        <x:v>AnchorTP 旧代理</x:v>
      </x:c>
      <x:c r="C39" s="19" t="n">
        <x:v>2</x:v>
      </x:c>
      <x:c r="D39" s="12" t="str">
        <x:v>四次切换均值</x:v>
      </x:c>
      <x:c r="E39" s="22" t="n">
        <x:v>19.77198905055411</x:v>
      </x:c>
      <x:c r="F39" s="22" t="n">
        <x:v>2.1870075259804724</x:v>
      </x:c>
      <x:c r="G39" s="22" t="n">
        <x:v>20.575943358475342</x:v>
      </x:c>
      <x:c r="H39" s="22" t="n">
        <x:v>330.86793075069306</x:v>
      </x:c>
      <x:c r="I39" s="22" t="n">
        <x:v>368.4265284384451</x:v>
      </x:c>
      <x:c r="J39" s="12" t="str">
        <x:v>H-anchortp-proxy-2</x:v>
      </x:c>
    </x:row>
    <x:row r="40" ht="40" customHeight="1">
      <x:c r="A40" s="13" t="str">
        <x:v>历史五轮机制代理</x:v>
      </x:c>
      <x:c r="B40" s="13" t="str">
        <x:v>AnchorTP 旧代理</x:v>
      </x:c>
      <x:c r="C40" s="20" t="n">
        <x:v>3</x:v>
      </x:c>
      <x:c r="D40" s="13" t="str">
        <x:v>四次切换均值</x:v>
      </x:c>
      <x:c r="E40" s="23" t="n">
        <x:v>19.160574556328356</x:v>
      </x:c>
      <x:c r="F40" s="23" t="n">
        <x:v>2.0095093789100646</x:v>
      </x:c>
      <x:c r="G40" s="23" t="n">
        <x:v>19.931521618622355</x:v>
      </x:c>
      <x:c r="H40" s="23" t="n">
        <x:v>326.5521916160899</x:v>
      </x:c>
      <x:c r="I40" s="23" t="n">
        <x:v>345.4576864951898</x:v>
      </x:c>
      <x:c r="J40" s="13" t="str">
        <x:v>H-anchortp-proxy-3</x:v>
      </x:c>
    </x:row>
    <x:row r="41" ht="40" customHeight="1">
      <x:c r="A41" s="12" t="str">
        <x:v>历史五轮机制代理</x:v>
      </x:c>
      <x:c r="B41" s="12" t="str">
        <x:v>Flying Serving-proxy</x:v>
      </x:c>
      <x:c r="C41" s="19" t="n">
        <x:v>2</x:v>
      </x:c>
      <x:c r="D41" s="12" t="str">
        <x:v>四次切换均值</x:v>
      </x:c>
      <x:c r="E41" s="26" t="n">
        <x:v>0.0000040852464735507965</x:v>
      </x:c>
      <x:c r="F41" s="22" t="n">
        <x:v>0</x:v>
      </x:c>
      <x:c r="G41" s="22" t="n">
        <x:v>0.7880445319460705</x:v>
      </x:c>
      <x:c r="H41" s="22" t="str">
        <x:v>不适用</x:v>
      </x:c>
      <x:c r="I41" s="22" t="str">
        <x:v>不适用</x:v>
      </x:c>
      <x:c r="J41" s="12" t="str">
        <x:v>H-flying-serving-proxy-2</x:v>
      </x:c>
    </x:row>
    <x:row r="42" ht="40" customHeight="1">
      <x:c r="A42" s="13" t="str">
        <x:v>历史五轮机制代理</x:v>
      </x:c>
      <x:c r="B42" s="13" t="str">
        <x:v>Flying Serving-proxy</x:v>
      </x:c>
      <x:c r="C42" s="20" t="n">
        <x:v>3</x:v>
      </x:c>
      <x:c r="D42" s="13" t="str">
        <x:v>四次切换均值</x:v>
      </x:c>
      <x:c r="E42" s="25" t="n">
        <x:v>0.000004136702045798302</x:v>
      </x:c>
      <x:c r="F42" s="23" t="n">
        <x:v>0</x:v>
      </x:c>
      <x:c r="G42" s="23" t="n">
        <x:v>0.7632602838566527</x:v>
      </x:c>
      <x:c r="H42" s="23" t="str">
        <x:v>不适用</x:v>
      </x:c>
      <x:c r="I42" s="23" t="str">
        <x:v>不适用</x:v>
      </x:c>
      <x:c r="J42" s="13" t="str">
        <x:v>H-flying-serving-proxy-3</x:v>
      </x:c>
    </x:row>
    <x:row r="43" ht="40" customHeight="1">
      <x:c r="A43" s="12" t="str">
        <x:v>历史五轮机制代理</x:v>
      </x:c>
      <x:c r="B43" s="12" t="str">
        <x:v>Live-default</x:v>
      </x:c>
      <x:c r="C43" s="19" t="n">
        <x:v>2</x:v>
      </x:c>
      <x:c r="D43" s="12" t="str">
        <x:v>四次切换均值</x:v>
      </x:c>
      <x:c r="E43" s="22" t="n">
        <x:v>8.628891462343745</x:v>
      </x:c>
      <x:c r="F43" s="22" t="n">
        <x:v>2.8776042302846907</x:v>
      </x:c>
      <x:c r="G43" s="22" t="n">
        <x:v>9.376624620519578</x:v>
      </x:c>
      <x:c r="H43" s="22" t="n">
        <x:v>329.52622940961055</x:v>
      </x:c>
      <x:c r="I43" s="22" t="n">
        <x:v>362.75047392003677</x:v>
      </x:c>
      <x:c r="J43" s="12" t="str">
        <x:v>H-baseline-2</x:v>
      </x:c>
    </x:row>
    <x:row r="44" ht="40" customHeight="1">
      <x:c r="A44" s="13" t="str">
        <x:v>历史五轮机制代理</x:v>
      </x:c>
      <x:c r="B44" s="13" t="str">
        <x:v>Live-default</x:v>
      </x:c>
      <x:c r="C44" s="20" t="n">
        <x:v>3</x:v>
      </x:c>
      <x:c r="D44" s="13" t="str">
        <x:v>四次切换均值</x:v>
      </x:c>
      <x:c r="E44" s="23" t="n">
        <x:v>9.425024397787638</x:v>
      </x:c>
      <x:c r="F44" s="23" t="n">
        <x:v>3.1751476577520372</x:v>
      </x:c>
      <x:c r="G44" s="23" t="n">
        <x:v>10.282486619544216</x:v>
      </x:c>
      <x:c r="H44" s="23" t="n">
        <x:v>353.2671396592084</x:v>
      </x:c>
      <x:c r="I44" s="23" t="n">
        <x:v>417.25992539349727</x:v>
      </x:c>
      <x:c r="J44" s="13" t="str">
        <x:v>H-baseline-3</x:v>
      </x:c>
    </x:row>
    <x:row r="45" ht="40" customHeight="1">
      <x:c r="A45" s="12" t="str">
        <x:v>历史五轮机制代理</x:v>
      </x:c>
      <x:c r="B45" s="12" t="str">
        <x:v>Llumnix-proxy</x:v>
      </x:c>
      <x:c r="C45" s="19" t="n">
        <x:v>2</x:v>
      </x:c>
      <x:c r="D45" s="12" t="str">
        <x:v>四次切换均值</x:v>
      </x:c>
      <x:c r="E45" s="22" t="n">
        <x:v>0.46172671916428953</x:v>
      </x:c>
      <x:c r="F45" s="22" t="n">
        <x:v>0.03761387264728546</x:v>
      </x:c>
      <x:c r="G45" s="22" t="n">
        <x:v>1.2208747637923807</x:v>
      </x:c>
      <x:c r="H45" s="22" t="n">
        <x:v>321.91613006591797</x:v>
      </x:c>
      <x:c r="I45" s="22" t="n">
        <x:v>321.91613006591797</x:v>
      </x:c>
      <x:c r="J45" s="12" t="str">
        <x:v>H-llumnix-proxy-2</x:v>
      </x:c>
    </x:row>
    <x:row r="46" ht="40" customHeight="1">
      <x:c r="A46" s="13" t="str">
        <x:v>历史五轮机制代理</x:v>
      </x:c>
      <x:c r="B46" s="13" t="str">
        <x:v>Llumnix-proxy</x:v>
      </x:c>
      <x:c r="C46" s="20" t="n">
        <x:v>3</x:v>
      </x:c>
      <x:c r="D46" s="13" t="str">
        <x:v>四次切换均值</x:v>
      </x:c>
      <x:c r="E46" s="23" t="n">
        <x:v>0.4657732314663008</x:v>
      </x:c>
      <x:c r="F46" s="23" t="n">
        <x:v>0.04328961634635925</x:v>
      </x:c>
      <x:c r="G46" s="23" t="n">
        <x:v>1.2598683635005727</x:v>
      </x:c>
      <x:c r="H46" s="23" t="n">
        <x:v>339.95408630371094</x:v>
      </x:c>
      <x:c r="I46" s="23" t="n">
        <x:v>339.95408630371094</x:v>
      </x:c>
      <x:c r="J46" s="13" t="str">
        <x:v>H-llumnix-proxy-3</x:v>
      </x:c>
    </x:row>
    <x:row r="47" ht="40" customHeight="1">
      <x:c r="A47" s="12" t="str">
        <x:v>历史五轮机制代理</x:v>
      </x:c>
      <x:c r="B47" s="12" t="str">
        <x:v>AnchorTP 旧代理</x:v>
      </x:c>
      <x:c r="C47" s="19" t="n">
        <x:v>4</x:v>
      </x:c>
      <x:c r="D47" s="12" t="str">
        <x:v>四次切换均值</x:v>
      </x:c>
      <x:c r="E47" s="22" t="n">
        <x:v>19.900703623425215</x:v>
      </x:c>
      <x:c r="F47" s="22" t="n">
        <x:v>2.4156845299601555</x:v>
      </x:c>
      <x:c r="G47" s="22" t="n">
        <x:v>20.688234927831218</x:v>
      </x:c>
      <x:c r="H47" s="22" t="n">
        <x:v>330.3348388671875</x:v>
      </x:c>
      <x:c r="I47" s="22" t="n">
        <x:v>368.0697793107692</x:v>
      </x:c>
      <x:c r="J47" s="12" t="str">
        <x:v>H-anchortp-proxy-4</x:v>
      </x:c>
    </x:row>
    <x:row r="48" ht="40" customHeight="1">
      <x:c r="A48" s="13" t="str">
        <x:v>历史五轮机制代理</x:v>
      </x:c>
      <x:c r="B48" s="13" t="str">
        <x:v>Llumnix-proxy</x:v>
      </x:c>
      <x:c r="C48" s="20" t="n">
        <x:v>4</x:v>
      </x:c>
      <x:c r="D48" s="13" t="str">
        <x:v>四次切换均值</x:v>
      </x:c>
      <x:c r="E48" s="23" t="n">
        <x:v>0.6137278277892619</x:v>
      </x:c>
      <x:c r="F48" s="23" t="n">
        <x:v>0.058877166271209716</x:v>
      </x:c>
      <x:c r="G48" s="23" t="n">
        <x:v>1.6662583409342915</x:v>
      </x:c>
      <x:c r="H48" s="23" t="n">
        <x:v>417.84388732910156</x:v>
      </x:c>
      <x:c r="I48" s="23" t="n">
        <x:v>417.84388732910156</x:v>
      </x:c>
      <x:c r="J48" s="13" t="str">
        <x:v>H-llumnix-proxy-4</x:v>
      </x:c>
    </x:row>
    <x:row r="49" ht="40" customHeight="1">
      <x:c r="A49" s="12" t="str">
        <x:v>历史五轮机制代理</x:v>
      </x:c>
      <x:c r="B49" s="12" t="str">
        <x:v>WeaveTP（历史）</x:v>
      </x:c>
      <x:c r="C49" s="19" t="n">
        <x:v>4</x:v>
      </x:c>
      <x:c r="D49" s="12" t="str">
        <x:v>四次切换均值</x:v>
      </x:c>
      <x:c r="E49" s="22" t="n">
        <x:v>8.924788934993558</x:v>
      </x:c>
      <x:c r="F49" s="22" t="n">
        <x:v>3.186234023094177</x:v>
      </x:c>
      <x:c r="G49" s="22" t="n">
        <x:v>9.750100979930721</x:v>
      </x:c>
      <x:c r="H49" s="22" t="n">
        <x:v>337.21492228788486</x:v>
      </x:c>
      <x:c r="I49" s="22" t="n">
        <x:v>394.1574814740349</x:v>
      </x:c>
      <x:c r="J49" s="12" t="str">
        <x:v>H-moetp++-hybrid-4</x:v>
      </x:c>
    </x:row>
    <x:row r="50" ht="40" customHeight="1">
      <x:c r="A50" s="13" t="str">
        <x:v>历史五轮机制代理</x:v>
      </x:c>
      <x:c r="B50" s="13" t="str">
        <x:v>WeaveTP（历史）</x:v>
      </x:c>
      <x:c r="C50" s="20" t="n">
        <x:v>5</x:v>
      </x:c>
      <x:c r="D50" s="13" t="str">
        <x:v>四次切换均值</x:v>
      </x:c>
      <x:c r="E50" s="23" t="n">
        <x:v>8.817275586538017</x:v>
      </x:c>
      <x:c r="F50" s="23" t="n">
        <x:v>3.066670548915863</x:v>
      </x:c>
      <x:c r="G50" s="23" t="n">
        <x:v>9.653072149609216</x:v>
      </x:c>
      <x:c r="H50" s="23" t="n">
        <x:v>337.7743202658261</x:v>
      </x:c>
      <x:c r="I50" s="23" t="n">
        <x:v>372.1043108771829</x:v>
      </x:c>
      <x:c r="J50" s="13" t="str">
        <x:v>H-moetp++-hybrid-5</x:v>
      </x:c>
    </x:row>
    <x:row r="51" ht="40" customHeight="1">
      <x:c r="A51" s="12" t="str">
        <x:v>历史五轮机制代理</x:v>
      </x:c>
      <x:c r="B51" s="12" t="str">
        <x:v>AnchorTP 旧代理</x:v>
      </x:c>
      <x:c r="C51" s="19" t="n">
        <x:v>5</x:v>
      </x:c>
      <x:c r="D51" s="12" t="str">
        <x:v>四次切换均值</x:v>
      </x:c>
      <x:c r="E51" s="22" t="n">
        <x:v>19.357205703970976</x:v>
      </x:c>
      <x:c r="F51" s="22" t="n">
        <x:v>2.372202881395817</x:v>
      </x:c>
      <x:c r="G51" s="22" t="n">
        <x:v>20.086097030201927</x:v>
      </x:c>
      <x:c r="H51" s="22" t="n">
        <x:v>328.26740102298925</x:v>
      </x:c>
      <x:c r="I51" s="22" t="n">
        <x:v>368.58053488809554</x:v>
      </x:c>
      <x:c r="J51" s="12" t="str">
        <x:v>H-anchortp-proxy-5</x:v>
      </x:c>
    </x:row>
    <x:row r="52" ht="40" customHeight="1">
      <x:c r="A52" s="13" t="str">
        <x:v>历史五轮机制代理</x:v>
      </x:c>
      <x:c r="B52" s="13" t="str">
        <x:v>Flying Serving-proxy</x:v>
      </x:c>
      <x:c r="C52" s="20" t="n">
        <x:v>4</x:v>
      </x:c>
      <x:c r="D52" s="13" t="str">
        <x:v>四次切换均值</x:v>
      </x:c>
      <x:c r="E52" s="25" t="n">
        <x:v>0.000006363261491060257</x:v>
      </x:c>
      <x:c r="F52" s="23" t="n">
        <x:v>0</x:v>
      </x:c>
      <x:c r="G52" s="23" t="n">
        <x:v>0.7790725961094722</x:v>
      </x:c>
      <x:c r="H52" s="23" t="str">
        <x:v>不适用</x:v>
      </x:c>
      <x:c r="I52" s="23" t="str">
        <x:v>不适用</x:v>
      </x:c>
      <x:c r="J52" s="13" t="str">
        <x:v>H-flying-serving-proxy-4</x:v>
      </x:c>
    </x:row>
    <x:row r="53" ht="40" customHeight="1">
      <x:c r="A53" s="12" t="str">
        <x:v>历史五轮机制代理</x:v>
      </x:c>
      <x:c r="B53" s="12" t="str">
        <x:v>Flying Serving-proxy</x:v>
      </x:c>
      <x:c r="C53" s="19" t="n">
        <x:v>5</x:v>
      </x:c>
      <x:c r="D53" s="12" t="str">
        <x:v>四次切换均值</x:v>
      </x:c>
      <x:c r="E53" s="26" t="n">
        <x:v>0.00000647176057100296</x:v>
      </x:c>
      <x:c r="F53" s="22" t="n">
        <x:v>0</x:v>
      </x:c>
      <x:c r="G53" s="22" t="n">
        <x:v>0.8042145093204454</x:v>
      </x:c>
      <x:c r="H53" s="22" t="str">
        <x:v>不适用</x:v>
      </x:c>
      <x:c r="I53" s="22" t="str">
        <x:v>不适用</x:v>
      </x:c>
      <x:c r="J53" s="12" t="str">
        <x:v>H-flying-serving-proxy-5</x:v>
      </x:c>
    </x:row>
    <x:row r="54" ht="40" customHeight="1">
      <x:c r="A54" s="13" t="str">
        <x:v>历史五轮机制代理</x:v>
      </x:c>
      <x:c r="B54" s="13" t="str">
        <x:v>Live-default</x:v>
      </x:c>
      <x:c r="C54" s="20" t="n">
        <x:v>4</x:v>
      </x:c>
      <x:c r="D54" s="13" t="str">
        <x:v>四次切换均值</x:v>
      </x:c>
      <x:c r="E54" s="23" t="n">
        <x:v>8.541687704971991</x:v>
      </x:c>
      <x:c r="F54" s="23" t="n">
        <x:v>2.830215875029564</x:v>
      </x:c>
      <x:c r="G54" s="23" t="n">
        <x:v>9.283510921290144</x:v>
      </x:c>
      <x:c r="H54" s="23" t="n">
        <x:v>329.2992203656365</x:v>
      </x:c>
      <x:c r="I54" s="23" t="n">
        <x:v>362.21867280847886</x:v>
      </x:c>
      <x:c r="J54" s="13" t="str">
        <x:v>H-baseline-4</x:v>
      </x:c>
    </x:row>
    <x:row r="55" ht="40" customHeight="1">
      <x:c r="A55" s="12" t="str">
        <x:v>历史五轮机制代理</x:v>
      </x:c>
      <x:c r="B55" s="12" t="str">
        <x:v>Live-default</x:v>
      </x:c>
      <x:c r="C55" s="19" t="n">
        <x:v>5</x:v>
      </x:c>
      <x:c r="D55" s="12" t="str">
        <x:v>四次切换均值</x:v>
      </x:c>
      <x:c r="E55" s="22" t="n">
        <x:v>8.71604870178271</x:v>
      </x:c>
      <x:c r="F55" s="22" t="n">
        <x:v>2.8597741559147836</x:v>
      </x:c>
      <x:c r="G55" s="22" t="n">
        <x:v>9.499541021883488</x:v>
      </x:c>
      <x:c r="H55" s="22" t="n">
        <x:v>332.53384130141313</x:v>
      </x:c>
      <x:c r="I55" s="22" t="n">
        <x:v>360.5227840647978</x:v>
      </x:c>
      <x:c r="J55" s="12" t="str">
        <x:v>H-baseline-5</x:v>
      </x:c>
    </x:row>
    <x:row r="56" ht="40" customHeight="1">
      <x:c r="A56" s="14" t="str">
        <x:v>历史五轮机制代理</x:v>
      </x:c>
      <x:c r="B56" s="14" t="str">
        <x:v>Llumnix-proxy</x:v>
      </x:c>
      <x:c r="C56" s="21" t="n">
        <x:v>5</x:v>
      </x:c>
      <x:c r="D56" s="14" t="str">
        <x:v>四次切换均值</x:v>
      </x:c>
      <x:c r="E56" s="24" t="n">
        <x:v>0.48361624439712614</x:v>
      </x:c>
      <x:c r="F56" s="24" t="n">
        <x:v>0.041835776567459106</x:v>
      </x:c>
      <x:c r="G56" s="24" t="n">
        <x:v>1.3086982110980898</x:v>
      </x:c>
      <x:c r="H56" s="24" t="n">
        <x:v>346.4866409301758</x:v>
      </x:c>
      <x:c r="I56" s="24" t="n">
        <x:v>346.4866409301758</x:v>
      </x:c>
      <x:c r="J56" s="14" t="str">
        <x:v>H-llumnix-proxy-5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a694f7d44404108"/>
  </x:tableParts>
</x:worksheet>
</file>

<file path=xl/worksheets/sheet8.xml><?xml version="1.0" encoding="utf-8"?>
<x:worksheet xmlns:x="http://schemas.openxmlformats.org/spreadsheetml/2006/main">
  <x:sheetPr>
    <x:tabColor rgb="FF255D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1299991607666" hidden="0" customWidth="1"/>
    <x:col min="2" max="2" width="13.75" hidden="0" customWidth="1"/>
    <x:col min="3" max="3" width="59.380001068115234" hidden="0" customWidth="1"/>
    <x:col min="4" max="4" width="56.880001068115234" hidden="0" customWidth="1"/>
    <x:col min="5" max="5" width="37.5" hidden="0" customWidth="1"/>
  </x:cols>
  <x:sheetData>
    <x:row r="1" ht="38" customHeight="1">
      <x:c r="A1" s="5" t="str">
        <x:v>WeaveTP｜指标说明</x:v>
      </x:c>
      <x:c r="B1" s="5"/>
      <x:c r="C1" s="5"/>
      <x:c r="D1" s="5"/>
      <x:c r="E1" s="5"/>
    </x:row>
    <x:row r="2" ht="43" customHeight="1">
      <x:c r="A2" s="7" t="str">
        <x:v>先确认统计单位、计时范围与状态范围，再比较数值；本表是读数说明，不是额外实验结果。</x:v>
      </x:c>
      <x:c r="B2" s="7"/>
      <x:c r="C2" s="7"/>
      <x:c r="D2" s="7"/>
      <x:c r="E2" s="7"/>
    </x:row>
    <x:row r="3">
      <x:c r="A3" s="3"/>
      <x:c r="B3" s="3"/>
      <x:c r="C3" s="3"/>
      <x:c r="D3" s="3"/>
      <x:c r="E3" s="3"/>
    </x:row>
    <x:row r="4" ht="32" customHeight="1">
      <x:c r="A4" s="11" t="str">
        <x:v>指标 / 术语</x:v>
      </x:c>
      <x:c r="B4" s="11" t="str">
        <x:v>单位 / 层级</x:v>
      </x:c>
      <x:c r="C4" s="11" t="str">
        <x:v>含义与汇总方式</x:v>
      </x:c>
      <x:c r="D4" s="11" t="str">
        <x:v>不能如何解释</x:v>
      </x:c>
      <x:c r="E4" s="11" t="str">
        <x:v>材料依据</x:v>
      </x:c>
    </x:row>
    <x:row r="5" ht="80" customHeight="1">
      <x:c r="A5" s="12" t="str">
        <x:v>Migration base wall</x:v>
      </x:c>
      <x:c r="B5" s="12" t="str">
        <x:v>s</x:v>
      </x:c>
      <x:c r="C5" s="12" t="str">
        <x:v>主体分波迁移阶段的墙钟时间</x:v>
      </x:c>
      <x:c r="D5" s="12" t="str">
        <x:v>含阶段内执行/重叠过程，不只是链路传输</x:v>
      </x:c>
      <x:c r="E5" s="12" t="str">
        <x:v>正式与历史原始记录的 base.wall_s</x:v>
      </x:c>
    </x:row>
    <x:row r="6" ht="80" customHeight="1">
      <x:c r="A6" s="13" t="str">
        <x:v>Transport</x:v>
      </x:c>
      <x:c r="B6" s="13" t="str">
        <x:v>s</x:v>
      </x:c>
      <x:c r="C6" s="13" t="str">
        <x:v>单次切换内各 wave 的 transport_s 累加，再按 launch 汇总</x:v>
      </x:c>
      <x:c r="D6" s="13" t="str">
        <x:v>与 base/switch 范围重叠，不能相加</x:v>
      </x:c>
      <x:c r="E6" s="13" t="str">
        <x:v>两批原始 wave 记录；本次复算</x:v>
      </x:c>
    </x:row>
    <x:row r="7" ht="80" customHeight="1">
      <x:c r="A7" s="12" t="str">
        <x:v>Benchmark switch wall</x:v>
      </x:c>
      <x:c r="B7" s="12" t="str">
        <x:v>s</x:v>
      </x:c>
      <x:c r="C7" s="12" t="str">
        <x:v>Benchmark 从切换开始到切换后数值检查结束的墙钟时间</x:v>
      </x:c>
      <x:c r="D7" s="12" t="str">
        <x:v>不是客户端停顿或任务完成时间</x:v>
      </x:c>
      <x:c r="E7" s="12" t="str">
        <x:v>两批原始记录的 switch_wall_s</x:v>
      </x:c>
    </x:row>
    <x:row r="8" ht="80" customHeight="1">
      <x:c r="A8" s="13" t="str">
        <x:v>Foreground TPOT mean</x:v>
      </x:c>
      <x:c r="B8" s="13" t="str">
        <x:v>ms</x:v>
      </x:c>
      <x:c r="C8" s="13" t="str">
        <x:v>迁移窗口内前台 token 时间摘要；正式按切换平均，历史按 overlap steps 加权</x:v>
      </x:c>
      <x:c r="D8" s="13" t="str">
        <x:v>不同阶段长度可能影响样本；不是整段服务性能</x:v>
      </x:c>
      <x:c r="E8" s="13" t="str">
        <x:v>两批 base 的 tpot_mean_ms 与 overlap_steps</x:v>
      </x:c>
    </x:row>
    <x:row r="9" ht="80" customHeight="1">
      <x:c r="A9" s="12" t="str">
        <x:v>Foreground TPOT p95 摘要</x:v>
      </x:c>
      <x:c r="B9" s="12" t="str">
        <x:v>ms</x:v>
      </x:c>
      <x:c r="C9" s="12" t="str">
        <x:v>先有每次切换的短窗口 p95，再按既定方式汇总</x:v>
      </x:c>
      <x:c r="D9" s="12" t="str">
        <x:v>平均 p95 不等于所有 token 合并的 p95；不是 SLO</x:v>
      </x:c>
      <x:c r="E9" s="12" t="str">
        <x:v>两批 base 的 tpot_p95_ms</x:v>
      </x:c>
    </x:row>
    <x:row r="10" ht="80" customHeight="1">
      <x:c r="A10" s="13" t="str">
        <x:v>方向均值</x:v>
      </x:c>
      <x:c r="B10" s="13" t="str">
        <x:v>每 launch</x:v>
      </x:c>
      <x:c r="C10" s="13" t="str">
        <x:v>正式实验先平均同一次启动中的两次扩容或两次收缩</x:v>
      </x:c>
      <x:c r="D10" s="13" t="str">
        <x:v>跨 launch 再统计；不能把 n=3 写成 n=6</x:v>
      </x:c>
      <x:c r="E10" s="13" t="str">
        <x:v>正式三轮 2026-09-01；9 份 JSON</x:v>
      </x:c>
    </x:row>
    <x:row r="11" ht="80" customHeight="1">
      <x:c r="A11" s="12" t="str">
        <x:v>循环切换均值</x:v>
      </x:c>
      <x:c r="B11" s="12" t="str">
        <x:v>每 launch</x:v>
      </x:c>
      <x:c r="C11" s="12" t="str">
        <x:v>先平均该 launch 的四次切换</x:v>
      </x:c>
      <x:c r="D11" s="12" t="str">
        <x:v>不是循环总耗时，不是整体推理 makespan</x:v>
      </x:c>
      <x:c r="E11" s="12" t="str">
        <x:v>正式三轮的四次切换序列</x:v>
      </x:c>
    </x:row>
    <x:row r="12" ht="80" customHeight="1">
      <x:c r="A12" s="13" t="str">
        <x:v>sample s.d.</x:v>
      </x:c>
      <x:c r="B12" s="13" t="str">
        <x:v>同指标单位</x:v>
      </x:c>
      <x:c r="C12" s="13" t="str">
        <x:v>独立 launch 之间的样本标准差，分母 n−1</x:v>
      </x:c>
      <x:c r="D12" s="13" t="str">
        <x:v>不是标准误或置信区间；未主张统计显著</x:v>
      </x:c>
      <x:c r="E12" s="13" t="str">
        <x:v>正式 n=3；历史 n=5</x:v>
      </x:c>
    </x:row>
    <x:row r="13" ht="80" customHeight="1">
      <x:c r="A13" s="12" t="str">
        <x:v>相对降幅</x:v>
      </x:c>
      <x:c r="B13" s="12" t="str">
        <x:v>%</x:v>
      </x:c>
      <x:c r="C13" s="12" t="str">
        <x:v>1 − WeaveTP 均值 / 对照均值</x:v>
      </x:c>
      <x:c r="D13" s="12" t="str">
        <x:v>正值=减少，负值=更高；不同指标不能合并相乘</x:v>
      </x:c>
      <x:c r="E13" s="12" t="str">
        <x:v>正式结果公式连接逐轮数据</x:v>
      </x:c>
    </x:row>
    <x:row r="14" ht="80" customHeight="1">
      <x:c r="A14" s="13" t="str">
        <x:v>不适用</x:v>
      </x:c>
      <x:c r="B14" s="13" t="str">
        <x:v>非数值</x:v>
      </x:c>
      <x:c r="C14" s="13" t="str">
        <x:v>没有可比样本，例如 Flying 代理的迁移重叠 TPOT</x:v>
      </x:c>
      <x:c r="D14" s="13" t="str">
        <x:v>不能填成 0；该代理 base wall 为微秒级而非严格零</x:v>
      </x:c>
      <x:c r="E14" s="13" t="str">
        <x:v>历史五轮的 Flying 代理记录</x:v>
      </x:c>
    </x:row>
    <x:row r="15" ht="80" customHeight="1">
      <x:c r="A15" s="12" t="str">
        <x:v>来源编号</x:v>
      </x:c>
      <x:c r="B15" s="12" t="str">
        <x:v>输入索引</x:v>
      </x:c>
      <x:c r="C15" s="12" t="str">
        <x:v>F 表示正式批次、H 表示历史批次；其后为配置和独立启动编号</x:v>
      </x:c>
      <x:c r="D15" s="12" t="str">
        <x:v>同一 F 编号出现三行仅表示三个汇总范围，不是三个 launch</x:v>
      </x:c>
      <x:c r="E15" s="12" t="str">
        <x:v>2026-09-10 只读归档的既定 34 份输入</x:v>
      </x:c>
    </x:row>
    <x:row r="16" ht="80" customHeight="1">
      <x:c r="A16" s="14" t="str">
        <x:v>正确性检查</x:v>
      </x:c>
      <x:c r="B16" s="14" t="str">
        <x:v>验证范围</x:v>
      </x:c>
      <x:c r="C16" s="14" t="str">
        <x:v>历史 BF16-relative logits 检查仅按其配置判断输出接近程度</x:v>
      </x:c>
      <x:c r="D16" s="14" t="str">
        <x:v>不是逐元素状态验证或逐 token 完全等价</x:v>
      </x:c>
      <x:c r="E16" s="14" t="str">
        <x:v>正式 36 次切换记录及后续正确性报告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d84071f20864a6a"/>
  </x:tableParts>
</x:worksheet>
</file>